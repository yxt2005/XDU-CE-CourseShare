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例2-6 移动平均法预测市场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<sst xmlns="http://schemas.openxmlformats.org/spreadsheetml/2006/main" count="11" uniqueCount="11">
  <si>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例2-7：下表是某地2005～2009年共5年的人均年收入与某产品年销售量的相关数据。预计2010年，该地区居民人均收入为9万元。试用回归分析法预测2010年该产品销售量。</t>
  </si>
  <si>
    <t>年份</t>
  </si>
  <si>
    <t>人均收入X</t>
  </si>
  <si>
    <t>年销售量y</t>
  </si>
  <si>
    <r>
      <t>x</t>
    </r>
    <r>
      <rPr>
        <b/>
        <vertAlign val="superscript"/>
        <sz val="10"/>
        <color rgb="FFFFFFFF"/>
        <rFont val="微软雅黑"/>
        <charset val="134"/>
      </rPr>
      <t>2</t>
    </r>
  </si>
  <si>
    <t>xy</t>
  </si>
  <si>
    <t>Σ</t>
  </si>
  <si>
    <r>
      <t>b</t>
    </r>
    <r>
      <rPr>
        <sz val="14"/>
        <color theme="1"/>
        <rFont val="Times New Roman"/>
        <charset val="134"/>
      </rPr>
      <t xml:space="preserve"> </t>
    </r>
    <r>
      <rPr>
        <b/>
        <sz val="14"/>
        <color theme="1"/>
        <rFont val="Times New Roman"/>
        <charset val="134"/>
      </rPr>
      <t xml:space="preserve">= </t>
    </r>
  </si>
  <si>
    <t>y=5+1.08x</t>
  </si>
  <si>
    <r>
      <t>a</t>
    </r>
    <r>
      <rPr>
        <sz val="14"/>
        <color theme="1"/>
        <rFont val="Times New Roman"/>
        <charset val="134"/>
      </rPr>
      <t xml:space="preserve"> </t>
    </r>
    <r>
      <rPr>
        <b/>
        <sz val="14"/>
        <color theme="1"/>
        <rFont val="Times New Roman"/>
        <charset val="134"/>
      </rPr>
      <t xml:space="preserve">= </t>
    </r>
  </si>
  <si>
    <t>预测 2010 年（x=9）销售量: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</si>
</sst>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9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Times New Roman"/>
      <charset val="134"/>
    </font>
    <font>
      <sz val="14"/>
      <color rgb="FFFF0000"/>
      <name val="Times New Roman"/>
      <charset val="134"/>
    </font>
    <font>
      <sz val="16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b/>
      <vertAlign val="superscript"/>
      <sz val="10"/>
      <color rgb="FFFFFFFF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rgb="FFFFFFFF"/>
      </right>
      <top style="medium">
        <color auto="1"/>
      </top>
      <bottom/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 readingOrder="1"/>
    </xf>
    <xf numFmtId="176" fontId="3" fillId="3" borderId="1" xfId="0" applyNumberFormat="1" applyFont="1" applyFill="1" applyBorder="1" applyAlignment="1">
      <alignment horizontal="center" vertical="center" wrapText="1" readingOrder="1"/>
    </xf>
    <xf numFmtId="177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" borderId="5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2:O20"/>
  <sheetViews>
    <sheetView tabSelected="1" workbookViewId="0">
      <selection activeCell="M16" sqref="M16"/>
    </sheetView>
  </sheetViews>
  <sheetFormatPr defaultColWidth="9" defaultRowHeight="14"/>
  <cols>
    <col min="1" max="1" width="3.21818181818182" customWidth="1"/>
    <col min="2" max="2" width="9" customWidth="1"/>
    <col min="3" max="3" width="10.7818181818182" customWidth="1"/>
    <col min="4" max="4" width="12.8181818181818"/>
    <col min="5" max="5" width="12.8181818181818" style="1"/>
    <col min="11" max="11" width="12.8181818181818"/>
  </cols>
  <sheetData>
    <row r="2" ht="34.95" customHeight="1" spans="2:10">
      <c r="B2" s="2" t="s">
        <v>0</v>
      </c>
      <c r="C2" s="2"/>
      <c r="D2" s="2"/>
      <c r="E2" s="2"/>
      <c r="F2" s="2"/>
      <c r="G2" s="2"/>
      <c r="H2" s="2"/>
      <c r="I2" s="2"/>
      <c r="J2" s="20"/>
    </row>
    <row r="3" ht="9" customHeight="1" spans="2:8">
      <c r="B3" s="3"/>
      <c r="C3" s="4"/>
      <c r="D3" s="4"/>
      <c r="E3" s="4"/>
      <c r="F3" s="4"/>
      <c r="G3" s="4"/>
      <c r="H3" s="4"/>
    </row>
    <row r="4" ht="45" customHeight="1" spans="2:15">
      <c r="B4" s="5" t="s">
        <v>1</v>
      </c>
      <c r="C4" s="6" t="s">
        <v>2</v>
      </c>
      <c r="D4" s="6" t="s">
        <v>3</v>
      </c>
      <c r="E4" s="7" t="s">
        <v>4</v>
      </c>
      <c r="F4" s="7" t="s">
        <v>5</v>
      </c>
      <c r="I4" s="21"/>
      <c r="J4" s="22"/>
      <c r="K4" s="22"/>
      <c r="L4" s="22"/>
      <c r="M4" s="22"/>
      <c r="N4" s="22"/>
      <c r="O4" s="23"/>
    </row>
    <row r="5" ht="16" spans="2:15">
      <c r="B5" s="8">
        <v>2005</v>
      </c>
      <c r="C5" s="9">
        <v>3</v>
      </c>
      <c r="D5" s="10">
        <v>8</v>
      </c>
      <c r="E5" s="11">
        <f>C5^2</f>
        <v>9</v>
      </c>
      <c r="F5" s="11">
        <f>C5*D5</f>
        <v>24</v>
      </c>
      <c r="I5" s="24"/>
      <c r="J5" s="24"/>
      <c r="K5" s="25"/>
      <c r="L5" s="25"/>
      <c r="M5" s="25"/>
      <c r="N5" s="25"/>
      <c r="O5" s="25"/>
    </row>
    <row r="6" ht="16" spans="2:15">
      <c r="B6" s="8">
        <v>2006</v>
      </c>
      <c r="C6" s="9">
        <v>4</v>
      </c>
      <c r="D6" s="10">
        <v>9.5</v>
      </c>
      <c r="E6" s="11">
        <f>C6^2</f>
        <v>16</v>
      </c>
      <c r="F6" s="11">
        <f>C6*D6</f>
        <v>38</v>
      </c>
      <c r="I6" s="24"/>
      <c r="J6" s="24"/>
      <c r="K6" s="25"/>
      <c r="L6" s="25"/>
      <c r="M6" s="25"/>
      <c r="N6" s="25"/>
      <c r="O6" s="25"/>
    </row>
    <row r="7" ht="16" spans="2:15">
      <c r="B7" s="8">
        <v>2007</v>
      </c>
      <c r="C7" s="9">
        <v>5</v>
      </c>
      <c r="D7" s="10">
        <v>10.6</v>
      </c>
      <c r="E7" s="11">
        <f>C7^2</f>
        <v>25</v>
      </c>
      <c r="F7" s="11">
        <f>C7*D7</f>
        <v>53</v>
      </c>
      <c r="I7" s="24"/>
      <c r="J7" s="24"/>
      <c r="K7" s="25"/>
      <c r="L7" s="25"/>
      <c r="M7" s="25"/>
      <c r="N7" s="25"/>
      <c r="O7" s="25"/>
    </row>
    <row r="8" ht="16" spans="2:15">
      <c r="B8" s="8">
        <v>2008</v>
      </c>
      <c r="C8" s="9">
        <v>6</v>
      </c>
      <c r="D8" s="10">
        <v>11.5</v>
      </c>
      <c r="E8" s="11">
        <f>C8^2</f>
        <v>36</v>
      </c>
      <c r="F8" s="11">
        <f>C8*D8</f>
        <v>69</v>
      </c>
      <c r="I8" s="24"/>
      <c r="J8" s="24"/>
      <c r="K8" s="25"/>
      <c r="L8" s="25"/>
      <c r="M8" s="25"/>
      <c r="N8" s="25"/>
      <c r="O8" s="25"/>
    </row>
    <row r="9" ht="16" spans="2:15">
      <c r="B9" s="8">
        <v>2009</v>
      </c>
      <c r="C9" s="9">
        <v>7</v>
      </c>
      <c r="D9" s="10">
        <v>12.4</v>
      </c>
      <c r="E9" s="11">
        <f>C9^2</f>
        <v>49</v>
      </c>
      <c r="F9" s="11">
        <f>C9*D9</f>
        <v>86.8</v>
      </c>
      <c r="I9" s="24"/>
      <c r="J9" s="24"/>
      <c r="K9" s="25"/>
      <c r="L9" s="25"/>
      <c r="M9" s="25"/>
      <c r="N9" s="25"/>
      <c r="O9" s="25"/>
    </row>
    <row r="10" ht="15.5" spans="2:6">
      <c r="B10" s="12" t="s">
        <v>6</v>
      </c>
      <c r="C10" s="13">
        <f>SUM(C5:C9)</f>
        <v>25</v>
      </c>
      <c r="D10" s="13">
        <f>SUM(D5:D9)</f>
        <v>52</v>
      </c>
      <c r="E10" s="13">
        <f>SUM(E5:E9)</f>
        <v>135</v>
      </c>
      <c r="F10" s="13">
        <f>SUM(F5:F9)</f>
        <v>270.8</v>
      </c>
    </row>
    <row r="11" ht="14.75"/>
    <row r="12" ht="14.75"/>
    <row r="13" ht="19.5" spans="3:8">
      <c r="C13" s="14" t="s">
        <v>7</v>
      </c>
      <c r="D13" s="15" cm="1">
        <f t="array" ref="D13">SLOPE(D5:D9,C5:C9)</f>
        <v>1.08</v>
      </c>
      <c r="F13" s="16" t="s">
        <v>8</v>
      </c>
      <c r="G13" s="17"/>
      <c r="H13" s="17"/>
    </row>
    <row r="14" ht="19.5" spans="3:8">
      <c r="C14" s="14" t="s">
        <v>9</v>
      </c>
      <c r="D14" s="15" cm="1">
        <f t="array" ref="D14">INTERCEPT(D5:D9,C5:C9)</f>
        <v>5</v>
      </c>
      <c r="F14" s="17"/>
      <c r="G14" s="17"/>
      <c r="H14" s="17"/>
    </row>
    <row r="15" ht="14.75"/>
    <row r="17" ht="14.75"/>
    <row r="18" spans="2:8">
      <c r="B18" s="18" t="s">
        <v>10</v>
      </c>
      <c r="C18" s="18"/>
      <c r="D18" s="18"/>
      <c r="E18" s="18" cm="1">
        <f t="array" ref="E18">FORECAST(9,D5:D9,C5:C9)</f>
        <v>14.72</v>
      </c>
      <c r="F18" s="18"/>
      <c r="G18" s="19"/>
      <c r="H18" s="19"/>
    </row>
    <row r="19" spans="2:8">
      <c r="B19" s="18"/>
      <c r="C19" s="18"/>
      <c r="D19" s="18"/>
      <c r="E19" s="18"/>
      <c r="F19" s="18"/>
      <c r="G19" s="19"/>
      <c r="H19" s="19"/>
    </row>
    <row r="20" ht="14.75" spans="2:8">
      <c r="B20" s="19"/>
      <c r="C20" s="19"/>
      <c r="D20" s="19"/>
      <c r="E20" s="19"/>
      <c r="F20" s="19"/>
      <c r="G20" s="19"/>
      <c r="H20" s="19"/>
    </row>
  </sheetData>
  <mergeCells count="4">
    <mergeCell ref="B2:I2"/>
    <mergeCell ref="F13:H14"/>
    <mergeCell ref="B18:D19"/>
    <mergeCell ref="E18:F1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例2-6 移动平均法预测市场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笑应动人</cp:lastModifiedBy>
  <dcterms:created xsi:type="dcterms:W3CDTF">2021-08-30T13:16:00Z</dcterms:created>
  <dcterms:modified xsi:type="dcterms:W3CDTF">2025-09-15T09:26:30Z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9C638A5437F043F699EE674BC087358E_13</vt:lpwstr>
  </property>
  <property fmtid="{D5CDD505-2E9C-101B-9397-08002B2CF9AE}" pid="3" name="KSOProductBuildVer">
    <vt:lpwstr>2052-12.8.2.17838</vt:lpwstr>
  </property>
</Properties>
</file>