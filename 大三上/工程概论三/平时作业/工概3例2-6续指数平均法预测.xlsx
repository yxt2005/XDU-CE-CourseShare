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例2-6 移动平均法预测市场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<sst xmlns="http://schemas.openxmlformats.org/spreadsheetml/2006/main" count="10" uniqueCount="10">
  <si>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t>例2-6</t>
    </r>
    <r>
      <rPr>
        <b/>
        <sz val="11"/>
        <color rgb="FFFF0000"/>
        <rFont val="微软雅黑"/>
        <charset val="134"/>
      </rPr>
      <t>续</t>
    </r>
    <r>
      <rPr>
        <b/>
        <sz val="11"/>
        <color theme="1"/>
        <rFont val="微软雅黑"/>
        <charset val="134"/>
      </rPr>
      <t>：某公司根据2018年12月的某产品的销售额，采用</t>
    </r>
    <r>
      <rPr>
        <b/>
        <sz val="11"/>
        <color rgb="FFFF0000"/>
        <rFont val="微软雅黑"/>
        <charset val="134"/>
      </rPr>
      <t>指数平滑法</t>
    </r>
    <r>
      <rPr>
        <b/>
        <sz val="11"/>
        <color theme="1"/>
        <rFont val="微软雅黑"/>
        <charset val="134"/>
      </rPr>
      <t>预测2019年1月份的销售量情况。设平滑系数</t>
    </r>
    <r>
      <rPr>
        <b/>
        <sz val="11"/>
        <color rgb="FFFF0000"/>
        <rFont val="微软雅黑"/>
        <charset val="134"/>
      </rPr>
      <t>α=0.3。</t>
    </r>
  </si>
  <si>
    <t>月份</t>
  </si>
  <si>
    <t>实际销售额Xt</t>
  </si>
  <si>
    <r>
      <t>一次指数平滑</t>
    </r>
    <r>
      <rPr>
        <b/>
        <vertAlign val="superscript"/>
        <sz val="10"/>
        <color rgb="FFFFFFFF"/>
        <rFont val="微软雅黑"/>
        <charset val="134"/>
      </rPr>
      <t>1</t>
    </r>
    <r>
      <rPr>
        <b/>
        <sz val="10"/>
        <color rgb="FFFFFFFF"/>
        <rFont val="微软雅黑"/>
        <charset val="134"/>
      </rPr>
      <t>St</t>
    </r>
  </si>
  <si>
    <r>
      <t>二次指数平滑</t>
    </r>
    <r>
      <rPr>
        <b/>
        <vertAlign val="superscript"/>
        <sz val="10"/>
        <color rgb="FFFFFFFF"/>
        <rFont val="微软雅黑"/>
        <charset val="134"/>
      </rPr>
      <t>2</t>
    </r>
    <r>
      <rPr>
        <b/>
        <sz val="10"/>
        <color rgb="FFFFFFFF"/>
        <rFont val="微软雅黑"/>
        <charset val="134"/>
      </rPr>
      <t>St</t>
    </r>
  </si>
  <si>
    <t>平滑系数α</t>
  </si>
  <si>
    <r>
      <t>m</t>
    </r>
    <r>
      <rPr>
        <vertAlign val="subscript"/>
        <sz val="11"/>
        <color theme="1"/>
        <rFont val="Times New Roman"/>
        <charset val="134"/>
      </rPr>
      <t>12</t>
    </r>
  </si>
  <si>
    <r>
      <t>n</t>
    </r>
    <r>
      <rPr>
        <vertAlign val="subscript"/>
        <sz val="11"/>
        <color theme="1"/>
        <rFont val="宋体"/>
        <charset val="134"/>
        <scheme val="minor"/>
      </rPr>
      <t>12</t>
    </r>
  </si>
  <si>
    <r>
      <t>x</t>
    </r>
    <r>
      <rPr>
        <vertAlign val="subscript"/>
        <sz val="11"/>
        <color theme="1"/>
        <rFont val="宋体"/>
        <charset val="134"/>
        <scheme val="minor"/>
      </rPr>
      <t>13</t>
    </r>
  </si>
  <si>
    <t>注：在保留两位小数的情况下，2019年1月预测结果为272.84，PPT课件中写作272.34，需修正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</si>
</sst>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8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  <font>
      <b/>
      <vertAlign val="superscript"/>
      <sz val="10"/>
      <color rgb="FFFFFFFF"/>
      <name val="微软雅黑"/>
      <charset val="134"/>
    </font>
    <font>
      <b/>
      <sz val="11"/>
      <color rgb="FFFF0000"/>
      <name val="微软雅黑"/>
      <charset val="134"/>
    </font>
    <font>
      <vertAlign val="subscript"/>
      <sz val="11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rgb="FFFFFFFF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9" applyNumberFormat="0" applyAlignment="0" applyProtection="0">
      <alignment vertical="center"/>
    </xf>
    <xf numFmtId="0" fontId="14" fillId="7" borderId="20" applyNumberFormat="0" applyAlignment="0" applyProtection="0">
      <alignment vertical="center"/>
    </xf>
    <xf numFmtId="0" fontId="15" fillId="7" borderId="19" applyNumberFormat="0" applyAlignment="0" applyProtection="0">
      <alignment vertical="center"/>
    </xf>
    <xf numFmtId="0" fontId="16" fillId="8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 readingOrder="1"/>
    </xf>
    <xf numFmtId="176" fontId="3" fillId="3" borderId="5" xfId="0" applyNumberFormat="1" applyFont="1" applyFill="1" applyBorder="1" applyAlignment="1">
      <alignment horizontal="center" vertical="center" wrapText="1" readingOrder="1"/>
    </xf>
    <xf numFmtId="177" fontId="0" fillId="4" borderId="5" xfId="0" applyNumberFormat="1" applyFill="1" applyBorder="1">
      <alignment vertical="center"/>
    </xf>
    <xf numFmtId="177" fontId="0" fillId="4" borderId="6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4" borderId="7" xfId="0" applyNumberForma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4" fillId="0" borderId="9" xfId="0" applyFont="1" applyBorder="1">
      <alignment vertical="center"/>
    </xf>
    <xf numFmtId="177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2" xfId="0" applyFont="1" applyBorder="1">
      <alignment vertical="center"/>
    </xf>
    <xf numFmtId="177" fontId="0" fillId="0" borderId="12" xfId="0" applyNumberFormat="1" applyBorder="1">
      <alignment vertical="center"/>
    </xf>
    <xf numFmtId="0" fontId="0" fillId="0" borderId="0" xfId="0" applyBorder="1">
      <alignment vertical="center"/>
    </xf>
    <xf numFmtId="0" fontId="4" fillId="0" borderId="13" xfId="0" applyFont="1" applyBorder="1">
      <alignment vertical="center"/>
    </xf>
    <xf numFmtId="177" fontId="0" fillId="0" borderId="14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2:O22"/>
  <sheetViews>
    <sheetView tabSelected="1" workbookViewId="0">
      <selection activeCell="K7" sqref="K7"/>
    </sheetView>
  </sheetViews>
  <sheetFormatPr defaultColWidth="9" defaultRowHeight="14"/>
  <cols>
    <col min="1" max="1" width="3.21818181818182" customWidth="1"/>
    <col min="2" max="2" width="9" customWidth="1"/>
    <col min="3" max="3" width="10.7818181818182" customWidth="1"/>
    <col min="4" max="4" width="12.8181818181818"/>
    <col min="5" max="5" width="12.8181818181818" style="1"/>
    <col min="11" max="11" width="12.8181818181818"/>
  </cols>
  <sheetData>
    <row r="2" ht="34.95" customHeight="1" spans="2:8">
      <c r="B2" s="2" t="s">
        <v>0</v>
      </c>
      <c r="C2" s="3"/>
      <c r="D2" s="3"/>
      <c r="E2" s="3"/>
      <c r="F2" s="3"/>
      <c r="G2" s="3"/>
      <c r="H2" s="3"/>
    </row>
    <row r="3" ht="9" customHeight="1" spans="2:8">
      <c r="B3" s="2"/>
      <c r="C3" s="3"/>
      <c r="D3" s="3"/>
      <c r="E3" s="3"/>
      <c r="F3" s="3"/>
      <c r="G3" s="3"/>
      <c r="H3" s="3"/>
    </row>
    <row r="4" ht="45" customHeight="1" spans="2:15">
      <c r="B4" s="4" t="s">
        <v>1</v>
      </c>
      <c r="C4" s="5" t="s">
        <v>2</v>
      </c>
      <c r="D4" s="5" t="s">
        <v>3</v>
      </c>
      <c r="E4" s="6" t="s">
        <v>4</v>
      </c>
      <c r="F4" s="6" t="s">
        <v>5</v>
      </c>
      <c r="I4" s="26"/>
      <c r="J4" s="27"/>
      <c r="K4" s="27"/>
      <c r="L4" s="27"/>
      <c r="M4" s="27"/>
      <c r="N4" s="27"/>
      <c r="O4" s="28"/>
    </row>
    <row r="5" ht="14.5" spans="2:15">
      <c r="B5" s="7">
        <v>1</v>
      </c>
      <c r="C5" s="8">
        <v>190.1</v>
      </c>
      <c r="D5" s="9">
        <f>C5</f>
        <v>190.1</v>
      </c>
      <c r="E5" s="10">
        <f>D5</f>
        <v>190.1</v>
      </c>
      <c r="F5" s="11">
        <v>0.3</v>
      </c>
      <c r="I5" s="29"/>
      <c r="J5" s="29"/>
      <c r="K5" s="30"/>
      <c r="L5" s="30"/>
      <c r="M5" s="30"/>
      <c r="N5" s="30"/>
      <c r="O5" s="30"/>
    </row>
    <row r="6" ht="14.5" spans="2:15">
      <c r="B6" s="7">
        <v>2</v>
      </c>
      <c r="C6" s="8">
        <v>220</v>
      </c>
      <c r="D6" s="9">
        <f>$F$5*C6+(1-$F$5)*D5</f>
        <v>199.07</v>
      </c>
      <c r="E6" s="12">
        <f>$F$5*D6+(1-$F$5)*E5</f>
        <v>192.791</v>
      </c>
      <c r="I6" s="29"/>
      <c r="J6" s="29"/>
      <c r="K6" s="30"/>
      <c r="L6" s="30"/>
      <c r="M6" s="30"/>
      <c r="N6" s="30"/>
      <c r="O6" s="30"/>
    </row>
    <row r="7" ht="14.5" spans="2:15">
      <c r="B7" s="7">
        <v>3</v>
      </c>
      <c r="C7" s="8">
        <v>188.1</v>
      </c>
      <c r="D7" s="9">
        <f t="shared" ref="D7:D17" si="0">$F$5*C7+(1-$F$5)*D6</f>
        <v>195.779</v>
      </c>
      <c r="E7" s="12">
        <f t="shared" ref="E7:E16" si="1">$F$5*D7+(1-$F$5)*E6</f>
        <v>193.6874</v>
      </c>
      <c r="I7" s="29"/>
      <c r="J7" s="29"/>
      <c r="K7" s="30"/>
      <c r="L7" s="30"/>
      <c r="M7" s="30"/>
      <c r="N7" s="30"/>
      <c r="O7" s="30"/>
    </row>
    <row r="8" ht="14.5" spans="2:15">
      <c r="B8" s="7">
        <v>4</v>
      </c>
      <c r="C8" s="8">
        <v>198</v>
      </c>
      <c r="D8" s="9">
        <f t="shared" si="0"/>
        <v>196.4453</v>
      </c>
      <c r="E8" s="12">
        <f t="shared" si="1"/>
        <v>194.51477</v>
      </c>
      <c r="I8" s="29"/>
      <c r="J8" s="29"/>
      <c r="K8" s="30"/>
      <c r="L8" s="30"/>
      <c r="M8" s="30"/>
      <c r="N8" s="30"/>
      <c r="O8" s="30"/>
    </row>
    <row r="9" ht="14.5" spans="2:15">
      <c r="B9" s="7">
        <v>5</v>
      </c>
      <c r="C9" s="8">
        <v>210</v>
      </c>
      <c r="D9" s="9">
        <f t="shared" si="0"/>
        <v>200.51171</v>
      </c>
      <c r="E9" s="12">
        <f t="shared" si="1"/>
        <v>196.313852</v>
      </c>
      <c r="I9" s="29"/>
      <c r="J9" s="29"/>
      <c r="K9" s="30"/>
      <c r="L9" s="30"/>
      <c r="M9" s="30"/>
      <c r="N9" s="30"/>
      <c r="O9" s="30"/>
    </row>
    <row r="10" ht="14.5" spans="2:15">
      <c r="B10" s="7">
        <v>6</v>
      </c>
      <c r="C10" s="8">
        <v>207</v>
      </c>
      <c r="D10" s="9">
        <f t="shared" si="0"/>
        <v>202.458197</v>
      </c>
      <c r="E10" s="12">
        <f t="shared" si="1"/>
        <v>198.1571555</v>
      </c>
      <c r="I10" s="29"/>
      <c r="J10" s="29"/>
      <c r="K10" s="30"/>
      <c r="L10" s="30"/>
      <c r="M10" s="30"/>
      <c r="N10" s="30"/>
      <c r="O10" s="30"/>
    </row>
    <row r="11" ht="14.5" spans="2:15">
      <c r="B11" s="7">
        <v>7</v>
      </c>
      <c r="C11" s="8">
        <v>238</v>
      </c>
      <c r="D11" s="9">
        <f t="shared" si="0"/>
        <v>213.1207379</v>
      </c>
      <c r="E11" s="12">
        <f t="shared" si="1"/>
        <v>202.64623022</v>
      </c>
      <c r="I11" s="29"/>
      <c r="J11" s="29"/>
      <c r="K11" s="30"/>
      <c r="L11" s="30"/>
      <c r="M11" s="30"/>
      <c r="N11" s="30"/>
      <c r="O11" s="30"/>
    </row>
    <row r="12" ht="14.5" spans="2:5">
      <c r="B12" s="7">
        <v>8</v>
      </c>
      <c r="C12" s="8">
        <v>241</v>
      </c>
      <c r="D12" s="9">
        <f t="shared" si="0"/>
        <v>221.48451653</v>
      </c>
      <c r="E12" s="12">
        <f t="shared" si="1"/>
        <v>208.297716113</v>
      </c>
    </row>
    <row r="13" ht="14.5" spans="2:5">
      <c r="B13" s="7">
        <v>9</v>
      </c>
      <c r="C13" s="8">
        <v>220</v>
      </c>
      <c r="D13" s="9">
        <f t="shared" si="0"/>
        <v>221.039161571</v>
      </c>
      <c r="E13" s="12">
        <f t="shared" si="1"/>
        <v>212.1201497504</v>
      </c>
    </row>
    <row r="14" ht="14.5" spans="2:5">
      <c r="B14" s="7">
        <v>10</v>
      </c>
      <c r="C14" s="8">
        <v>250</v>
      </c>
      <c r="D14" s="9">
        <f t="shared" si="0"/>
        <v>229.7274130997</v>
      </c>
      <c r="E14" s="12">
        <f t="shared" si="1"/>
        <v>217.40232875519</v>
      </c>
    </row>
    <row r="15" ht="14.5" spans="2:5">
      <c r="B15" s="7">
        <v>11</v>
      </c>
      <c r="C15" s="8">
        <v>261</v>
      </c>
      <c r="D15" s="9">
        <f t="shared" si="0"/>
        <v>239.10918916979</v>
      </c>
      <c r="E15" s="12">
        <f t="shared" si="1"/>
        <v>223.91438687957</v>
      </c>
    </row>
    <row r="16" ht="14.5" spans="2:5">
      <c r="B16" s="7">
        <v>12</v>
      </c>
      <c r="C16" s="8">
        <v>270</v>
      </c>
      <c r="D16" s="9">
        <f t="shared" si="0"/>
        <v>248.376432418853</v>
      </c>
      <c r="E16" s="12">
        <f t="shared" si="1"/>
        <v>231.253000541355</v>
      </c>
    </row>
    <row r="18" ht="14.75" spans="2:2">
      <c r="B18" s="13"/>
    </row>
    <row r="19" ht="24.5" spans="2:5">
      <c r="B19" s="14" t="s">
        <v>6</v>
      </c>
      <c r="C19" s="15">
        <f>2*D16-E16</f>
        <v>265.499864296351</v>
      </c>
      <c r="D19" s="16"/>
      <c r="E19" s="17"/>
    </row>
    <row r="20" ht="24.5" spans="2:5">
      <c r="B20" s="18" t="s">
        <v>7</v>
      </c>
      <c r="C20" s="19">
        <f>($F$5/(1-$F$5))*(D16-E16)</f>
        <v>7.33861366178493</v>
      </c>
      <c r="D20" s="20"/>
      <c r="E20" s="17"/>
    </row>
    <row r="21" ht="24.5" spans="2:13">
      <c r="B21" s="21" t="s">
        <v>8</v>
      </c>
      <c r="C21" s="22">
        <f>C19+C20*1</f>
        <v>272.838477958136</v>
      </c>
      <c r="D21" s="23" t="s">
        <v>9</v>
      </c>
      <c r="E21" s="24"/>
      <c r="F21" s="24"/>
      <c r="G21" s="24"/>
      <c r="H21" s="24"/>
      <c r="I21" s="24"/>
      <c r="J21" s="24"/>
      <c r="K21" s="24"/>
      <c r="L21" s="24"/>
      <c r="M21" s="24"/>
    </row>
    <row r="22" ht="14.75" spans="2:3">
      <c r="B22" s="25"/>
      <c r="C22" s="25"/>
    </row>
  </sheetData>
  <mergeCells count="2">
    <mergeCell ref="B2:H2"/>
    <mergeCell ref="D21:M2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例2-6 移动平均法预测市场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笑应动人</cp:lastModifiedBy>
  <dcterms:created xsi:type="dcterms:W3CDTF">2021-08-30T13:16:00Z</dcterms:created>
  <dcterms:modified xsi:type="dcterms:W3CDTF">2025-09-15T09:04:37Z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5728BA228C5F449DA301A8CE97631565_13</vt:lpwstr>
  </property>
  <property fmtid="{D5CDD505-2E9C-101B-9397-08002B2CF9AE}" pid="3" name="KSOProductBuildVer">
    <vt:lpwstr>2052-12.8.2.17838</vt:lpwstr>
  </property>
</Properties>
</file>