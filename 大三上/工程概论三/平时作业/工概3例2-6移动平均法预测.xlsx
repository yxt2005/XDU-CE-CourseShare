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例2-6 移动平均法预测市场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<sst xmlns="http://schemas.openxmlformats.org/spreadsheetml/2006/main" count="8" uniqueCount="8">
  <si>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r>
      <rPr>
        <b/>
        <sz val="11"/>
        <color theme="1"/>
        <rFont val="微软雅黑"/>
        <charset val="134"/>
      </rPr>
      <t>例2-6：某公司根据2018年12月的某产品的销售额，采用</t>
    </r>
    <r>
      <rPr>
        <b/>
        <sz val="11"/>
        <color rgb="FFFF0000"/>
        <rFont val="微软雅黑"/>
        <charset val="134"/>
      </rPr>
      <t>移动平均法</t>
    </r>
    <r>
      <rPr>
        <b/>
        <sz val="11"/>
        <color theme="1"/>
        <rFont val="微软雅黑"/>
        <charset val="134"/>
      </rPr>
      <t>预测2019年1月份的销售量情况，求预测值并分析其误差。</t>
    </r>
  </si>
  <si>
    <t>月份</t>
  </si>
  <si>
    <t>实际销售额</t>
  </si>
  <si>
    <t>三个月的  移动      平均值</t>
  </si>
  <si>
    <t>预测误差</t>
  </si>
  <si>
    <t>平均绝对百分比误差</t>
  </si>
  <si>
    <t>误差分析</t>
  </si>
  <si>
    <t>通过对 4–12 月的样本检验，预测误差在 −8.7 到 +33 之间波动，平均绝对百分比误差大约为6.8%，说明三个月移动平均法能够反映总体趋势，但对局部波动敏感，同时，只用最近一组历史数据的平均值作为
预测值，忽略了以前历史数据对现象变化的影响，预测 2019 年 1 月值时可能存在一定偏差。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</si>
</sst>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rgb="FFFFFFFF"/>
      </right>
      <top style="medium">
        <color auto="1"/>
      </top>
      <bottom/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7" applyNumberFormat="0" applyAlignment="0" applyProtection="0">
      <alignment vertical="center"/>
    </xf>
    <xf numFmtId="0" fontId="13" fillId="8" borderId="18" applyNumberFormat="0" applyAlignment="0" applyProtection="0">
      <alignment vertical="center"/>
    </xf>
    <xf numFmtId="0" fontId="14" fillId="8" borderId="17" applyNumberFormat="0" applyAlignment="0" applyProtection="0">
      <alignment vertical="center"/>
    </xf>
    <xf numFmtId="0" fontId="15" fillId="9" borderId="19" applyNumberFormat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 readingOrder="1"/>
    </xf>
    <xf numFmtId="176" fontId="3" fillId="3" borderId="5" xfId="0" applyNumberFormat="1" applyFont="1" applyFill="1" applyBorder="1" applyAlignment="1">
      <alignment horizontal="center" vertical="center" wrapText="1" readingOrder="1"/>
    </xf>
    <xf numFmtId="0" fontId="0" fillId="4" borderId="5" xfId="0" applyFill="1" applyBorder="1">
      <alignment vertical="center"/>
    </xf>
    <xf numFmtId="0" fontId="0" fillId="4" borderId="6" xfId="0" applyFill="1" applyBorder="1" applyAlignment="1">
      <alignment horizontal="center" vertical="center"/>
    </xf>
    <xf numFmtId="176" fontId="0" fillId="0" borderId="5" xfId="0" applyNumberFormat="1" applyBorder="1">
      <alignment vertical="center"/>
    </xf>
    <xf numFmtId="176" fontId="0" fillId="0" borderId="6" xfId="0" applyNumberFormat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 readingOrder="1"/>
    </xf>
    <xf numFmtId="0" fontId="0" fillId="5" borderId="8" xfId="0" applyFill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2:O17"/>
  <sheetViews>
    <sheetView tabSelected="1" workbookViewId="0">
      <selection activeCell="G17" sqref="G17"/>
    </sheetView>
  </sheetViews>
  <sheetFormatPr defaultColWidth="9" defaultRowHeight="14"/>
  <cols>
    <col min="1" max="1" width="3.21818181818182" customWidth="1"/>
    <col min="2" max="2" width="9" customWidth="1"/>
    <col min="3" max="3" width="10.7818181818182" customWidth="1"/>
    <col min="5" max="5" width="8.89090909090909" style="1"/>
    <col min="11" max="11" width="12.8181818181818"/>
  </cols>
  <sheetData>
    <row r="2" ht="34.95" customHeight="1" spans="2:8">
      <c r="B2" s="2" t="s">
        <v>0</v>
      </c>
      <c r="C2" s="3"/>
      <c r="D2" s="3"/>
      <c r="E2" s="3"/>
      <c r="F2" s="3"/>
      <c r="G2" s="3"/>
      <c r="H2" s="3"/>
    </row>
    <row r="3" ht="9" customHeight="1" spans="2:8">
      <c r="B3" s="2"/>
      <c r="C3" s="3"/>
      <c r="D3" s="3"/>
      <c r="E3" s="3"/>
      <c r="F3" s="3"/>
      <c r="G3" s="3"/>
      <c r="H3" s="3"/>
    </row>
    <row r="4" ht="45" customHeight="1" spans="2:15">
      <c r="B4" s="4" t="s">
        <v>1</v>
      </c>
      <c r="C4" s="5" t="s">
        <v>2</v>
      </c>
      <c r="D4" s="5" t="s">
        <v>3</v>
      </c>
      <c r="E4" s="6" t="s">
        <v>4</v>
      </c>
      <c r="I4" s="16" t="s">
        <v>5</v>
      </c>
      <c r="J4" s="17"/>
      <c r="K4" s="18" cm="1">
        <f t="array" ref="K4">AVERAGE(ABS(E8:E16)/C8:C16)</f>
        <v>0.0682989645458225</v>
      </c>
      <c r="L4" s="18"/>
      <c r="M4" s="18"/>
      <c r="N4" s="18"/>
      <c r="O4" s="19"/>
    </row>
    <row r="5" ht="14.5" spans="2:15">
      <c r="B5" s="7">
        <v>1</v>
      </c>
      <c r="C5" s="8">
        <v>190.1</v>
      </c>
      <c r="D5" s="9"/>
      <c r="E5" s="10"/>
      <c r="I5" s="20" t="s">
        <v>6</v>
      </c>
      <c r="J5" s="20"/>
      <c r="K5" s="21" t="s">
        <v>7</v>
      </c>
      <c r="L5" s="21"/>
      <c r="M5" s="21"/>
      <c r="N5" s="21"/>
      <c r="O5" s="21"/>
    </row>
    <row r="6" ht="14.5" spans="2:15">
      <c r="B6" s="7">
        <v>2</v>
      </c>
      <c r="C6" s="8">
        <v>220</v>
      </c>
      <c r="D6" s="9"/>
      <c r="E6" s="10"/>
      <c r="I6" s="22"/>
      <c r="J6" s="22"/>
      <c r="K6" s="23"/>
      <c r="L6" s="23"/>
      <c r="M6" s="23"/>
      <c r="N6" s="23"/>
      <c r="O6" s="23"/>
    </row>
    <row r="7" ht="14.5" spans="2:15">
      <c r="B7" s="7">
        <v>3</v>
      </c>
      <c r="C7" s="8">
        <v>188.1</v>
      </c>
      <c r="D7" s="9"/>
      <c r="E7" s="10"/>
      <c r="I7" s="22"/>
      <c r="J7" s="22"/>
      <c r="K7" s="23"/>
      <c r="L7" s="23"/>
      <c r="M7" s="23"/>
      <c r="N7" s="23"/>
      <c r="O7" s="23"/>
    </row>
    <row r="8" ht="14.5" spans="2:15">
      <c r="B8" s="7">
        <v>4</v>
      </c>
      <c r="C8" s="8">
        <v>198</v>
      </c>
      <c r="D8" s="11">
        <f>AVERAGE(C5:C7)</f>
        <v>199.4</v>
      </c>
      <c r="E8" s="12">
        <f>C8-D8</f>
        <v>-1.40000000000001</v>
      </c>
      <c r="I8" s="22"/>
      <c r="J8" s="22"/>
      <c r="K8" s="23"/>
      <c r="L8" s="23"/>
      <c r="M8" s="23"/>
      <c r="N8" s="23"/>
      <c r="O8" s="23"/>
    </row>
    <row r="9" ht="14.5" spans="2:15">
      <c r="B9" s="7">
        <v>5</v>
      </c>
      <c r="C9" s="8">
        <v>210</v>
      </c>
      <c r="D9" s="11">
        <f t="shared" ref="D9:D17" si="0">AVERAGE(C6:C8)</f>
        <v>202.033333333333</v>
      </c>
      <c r="E9" s="12">
        <f t="shared" ref="E9:E16" si="1">C9-D9</f>
        <v>7.96666666666667</v>
      </c>
      <c r="I9" s="22"/>
      <c r="J9" s="22"/>
      <c r="K9" s="23"/>
      <c r="L9" s="23"/>
      <c r="M9" s="23"/>
      <c r="N9" s="23"/>
      <c r="O9" s="23"/>
    </row>
    <row r="10" ht="14.5" spans="2:15">
      <c r="B10" s="7">
        <v>6</v>
      </c>
      <c r="C10" s="8">
        <v>207</v>
      </c>
      <c r="D10" s="11">
        <f t="shared" si="0"/>
        <v>198.7</v>
      </c>
      <c r="E10" s="12">
        <f t="shared" si="1"/>
        <v>8.29999999999998</v>
      </c>
      <c r="I10" s="22"/>
      <c r="J10" s="22"/>
      <c r="K10" s="23"/>
      <c r="L10" s="23"/>
      <c r="M10" s="23"/>
      <c r="N10" s="23"/>
      <c r="O10" s="23"/>
    </row>
    <row r="11" ht="14.5" spans="2:15">
      <c r="B11" s="7">
        <v>7</v>
      </c>
      <c r="C11" s="8">
        <v>238</v>
      </c>
      <c r="D11" s="11">
        <f t="shared" si="0"/>
        <v>205</v>
      </c>
      <c r="E11" s="12">
        <f t="shared" si="1"/>
        <v>33</v>
      </c>
      <c r="I11" s="22"/>
      <c r="J11" s="22"/>
      <c r="K11" s="23"/>
      <c r="L11" s="23"/>
      <c r="M11" s="23"/>
      <c r="N11" s="23"/>
      <c r="O11" s="23"/>
    </row>
    <row r="12" ht="14.5" spans="2:5">
      <c r="B12" s="7">
        <v>8</v>
      </c>
      <c r="C12" s="8">
        <v>241</v>
      </c>
      <c r="D12" s="11">
        <f t="shared" si="0"/>
        <v>218.333333333333</v>
      </c>
      <c r="E12" s="12">
        <f t="shared" si="1"/>
        <v>22.6666666666667</v>
      </c>
    </row>
    <row r="13" ht="14.5" spans="2:5">
      <c r="B13" s="7">
        <v>9</v>
      </c>
      <c r="C13" s="8">
        <v>220</v>
      </c>
      <c r="D13" s="11">
        <f t="shared" si="0"/>
        <v>228.666666666667</v>
      </c>
      <c r="E13" s="12">
        <f t="shared" si="1"/>
        <v>-8.66666666666666</v>
      </c>
    </row>
    <row r="14" ht="14.5" spans="2:5">
      <c r="B14" s="7">
        <v>10</v>
      </c>
      <c r="C14" s="8">
        <v>250</v>
      </c>
      <c r="D14" s="11">
        <f t="shared" si="0"/>
        <v>233</v>
      </c>
      <c r="E14" s="12">
        <f t="shared" si="1"/>
        <v>17</v>
      </c>
    </row>
    <row r="15" ht="14.5" spans="2:5">
      <c r="B15" s="7">
        <v>11</v>
      </c>
      <c r="C15" s="8">
        <v>261</v>
      </c>
      <c r="D15" s="11">
        <f t="shared" si="0"/>
        <v>237</v>
      </c>
      <c r="E15" s="12">
        <f t="shared" si="1"/>
        <v>24</v>
      </c>
    </row>
    <row r="16" ht="14.5" spans="2:5">
      <c r="B16" s="7">
        <v>12</v>
      </c>
      <c r="C16" s="8">
        <v>270</v>
      </c>
      <c r="D16" s="11">
        <f t="shared" si="0"/>
        <v>243.666666666667</v>
      </c>
      <c r="E16" s="12">
        <f t="shared" si="1"/>
        <v>26.3333333333333</v>
      </c>
    </row>
    <row r="17" ht="15.25" spans="2:5">
      <c r="B17" s="13">
        <v>1</v>
      </c>
      <c r="C17" s="14"/>
      <c r="D17" s="11">
        <f t="shared" si="0"/>
        <v>260.333333333333</v>
      </c>
      <c r="E17" s="15"/>
    </row>
  </sheetData>
  <mergeCells count="4">
    <mergeCell ref="B2:H2"/>
    <mergeCell ref="K4:O4"/>
    <mergeCell ref="I5:J11"/>
    <mergeCell ref="K5:O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例2-6 移动平均法预测市场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笑应动人</cp:lastModifiedBy>
  <dcterms:created xsi:type="dcterms:W3CDTF">2021-08-30T13:16:00Z</dcterms:created>
  <dcterms:modified xsi:type="dcterms:W3CDTF">2025-09-15T09:26:32Z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B252FC28D21247E9B479AF393FBBB452_12</vt:lpwstr>
  </property>
  <property fmtid="{D5CDD505-2E9C-101B-9397-08002B2CF9AE}" pid="3" name="KSOProductBuildVer">
    <vt:lpwstr>2052-12.8.2.17838</vt:lpwstr>
  </property>
</Properties>
</file>