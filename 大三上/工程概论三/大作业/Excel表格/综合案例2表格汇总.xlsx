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2" activeTab="6"/>
  </bookViews>
  <sheets>
    <sheet name="表2-1 建设投资估算" sheetId="1" r:id="rId1"/>
    <sheet name="表2-4 总成本费用估算表" sheetId="2" r:id="rId2"/>
    <sheet name="表2-7利润及利润分配" sheetId="3" r:id="rId3"/>
    <sheet name="表2-8 项目投资现金流量表 " sheetId="4" r:id="rId4"/>
    <sheet name="表2-9 项目资本金现金流量表 " sheetId="5" r:id="rId5"/>
    <sheet name="表2-11敏感性分析表" sheetId="7" r:id="rId6"/>
    <sheet name="表2-12项目的主要财务评价指标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<sst xmlns="http://schemas.openxmlformats.org/spreadsheetml/2006/main" count="200" uniqueCount="142">
  <si>
    <t>表2-1 建设投资估算  单位： 万元</t>
  </si>
  <si>
    <t>序号</t>
  </si>
  <si>
    <t>项目</t>
  </si>
  <si>
    <t>建设工程</t>
  </si>
  <si>
    <t>设备购买</t>
  </si>
  <si>
    <t>安装工程</t>
  </si>
  <si>
    <t>其他</t>
  </si>
  <si>
    <t>合计</t>
  </si>
  <si>
    <t>固定资产投资</t>
  </si>
  <si>
    <t>主要工程</t>
  </si>
  <si>
    <t>1.1.1</t>
  </si>
  <si>
    <t>主体工程</t>
  </si>
  <si>
    <t>无形资产</t>
  </si>
  <si>
    <t>技术</t>
  </si>
  <si>
    <t>场地使用权</t>
  </si>
  <si>
    <t>其他无形资产</t>
  </si>
  <si>
    <t>递延资产</t>
  </si>
  <si>
    <t>咨询调查</t>
  </si>
  <si>
    <t>人员培训</t>
  </si>
  <si>
    <t>筹建费</t>
  </si>
  <si>
    <t>投资方向调节税</t>
  </si>
  <si>
    <t>预备费</t>
  </si>
  <si>
    <t>基本预备费</t>
  </si>
  <si>
    <t>涨价预备费</t>
  </si>
  <si>
    <t>总计</t>
  </si>
  <si>
    <t>计算期</t>
  </si>
  <si>
    <t>部分关键量计算</t>
  </si>
  <si>
    <t>2-11</t>
  </si>
  <si>
    <t>12-16</t>
  </si>
  <si>
    <t>17-21</t>
  </si>
  <si>
    <t>年平均总成本</t>
  </si>
  <si>
    <t>外购原辅材料</t>
  </si>
  <si>
    <t>外购燃料及动力</t>
  </si>
  <si>
    <t>水</t>
  </si>
  <si>
    <t>电</t>
  </si>
  <si>
    <t>天然气</t>
  </si>
  <si>
    <t>工资及福利</t>
  </si>
  <si>
    <t>维修费</t>
  </si>
  <si>
    <t>折旧费</t>
  </si>
  <si>
    <t>摊销费</t>
  </si>
  <si>
    <t>利息支出</t>
  </si>
  <si>
    <t>其他费用</t>
  </si>
  <si>
    <t>总成本费用</t>
  </si>
  <si>
    <t>固定成本</t>
  </si>
  <si>
    <t>可变成本</t>
  </si>
  <si>
    <t>经营成本</t>
  </si>
  <si>
    <t>营业收入</t>
  </si>
  <si>
    <t>销售税金及附加</t>
  </si>
  <si>
    <t>利润总额</t>
  </si>
  <si>
    <t>所得税（25%）</t>
  </si>
  <si>
    <t>税后利润</t>
  </si>
  <si>
    <t>特种基金</t>
  </si>
  <si>
    <t>可供分配利润</t>
  </si>
  <si>
    <t>盈余公积金</t>
  </si>
  <si>
    <t>应付利润</t>
  </si>
  <si>
    <t>未分配利润</t>
  </si>
  <si>
    <t>累计未分配利润</t>
  </si>
  <si>
    <t>年平均利润总额</t>
  </si>
  <si>
    <t>年均净利润</t>
  </si>
  <si>
    <t>年利税</t>
  </si>
  <si>
    <t xml:space="preserve">表2-8 项目投资现金流量表 </t>
  </si>
  <si>
    <t>现金流入</t>
  </si>
  <si>
    <t>补贴收入</t>
  </si>
  <si>
    <t>回收固定资产余值</t>
  </si>
  <si>
    <t>回收流动资金</t>
  </si>
  <si>
    <t>现金流出</t>
  </si>
  <si>
    <t>建设投资</t>
  </si>
  <si>
    <t>流动资金</t>
  </si>
  <si>
    <t>营业税金及附加</t>
  </si>
  <si>
    <t>维持运营资金</t>
  </si>
  <si>
    <t>所得税前净现金流量</t>
  </si>
  <si>
    <t>累积所得税前净现金流量</t>
  </si>
  <si>
    <t>调整所得税</t>
  </si>
  <si>
    <t>所得税后净现金流量</t>
  </si>
  <si>
    <t>累计所得税后净现金流量</t>
  </si>
  <si>
    <t>项目评价指标</t>
  </si>
  <si>
    <t>所得税前</t>
  </si>
  <si>
    <t>所得税后</t>
  </si>
  <si>
    <t>内部收益率</t>
  </si>
  <si>
    <t>财务净现值(i=12%)(万元)</t>
  </si>
  <si>
    <t>静态投资回收期</t>
  </si>
  <si>
    <t xml:space="preserve">表2-9 项目资本金现金流量表 </t>
  </si>
  <si>
    <t>项目资本金</t>
  </si>
  <si>
    <t>借款本金偿还</t>
  </si>
  <si>
    <t>借款利息支付</t>
  </si>
  <si>
    <t>营业税金及其附加</t>
  </si>
  <si>
    <t>所得税</t>
  </si>
  <si>
    <t>维持运营投资</t>
  </si>
  <si>
    <t>净现金流量</t>
  </si>
  <si>
    <t>年均息税利润</t>
  </si>
  <si>
    <t>总投资收益率</t>
  </si>
  <si>
    <t>资本金收益率</t>
  </si>
  <si>
    <t>表2-11敏感性分析表</t>
  </si>
  <si>
    <t xml:space="preserve">              对比方案
指标名称</t>
  </si>
  <si>
    <t>指标单位</t>
  </si>
  <si>
    <t>基本方案</t>
  </si>
  <si>
    <t>产品销售价格变动</t>
  </si>
  <si>
    <t>经营成本变动</t>
  </si>
  <si>
    <t>建设投资变动</t>
  </si>
  <si>
    <t>+10%</t>
  </si>
  <si>
    <t>财务内部收益率</t>
  </si>
  <si>
    <t>%</t>
  </si>
  <si>
    <t>财务净现值（i=12%）</t>
  </si>
  <si>
    <t>税前</t>
  </si>
  <si>
    <t>税后</t>
  </si>
  <si>
    <t>表2-12项目的主要财务评价指标</t>
  </si>
  <si>
    <t>指标</t>
  </si>
  <si>
    <t>单位</t>
  </si>
  <si>
    <t>数量</t>
  </si>
  <si>
    <t>备注</t>
  </si>
  <si>
    <t>生产规模</t>
  </si>
  <si>
    <t>吨/年</t>
  </si>
  <si>
    <t>PVC管材</t>
  </si>
  <si>
    <t>PE管材</t>
  </si>
  <si>
    <t>项目总投资</t>
  </si>
  <si>
    <t>万元</t>
  </si>
  <si>
    <t>A建设投资</t>
  </si>
  <si>
    <t>自有资金</t>
  </si>
  <si>
    <t>建设期借款利息</t>
  </si>
  <si>
    <t>B流动资金</t>
  </si>
  <si>
    <t>银行借款</t>
  </si>
  <si>
    <t>投资指标</t>
  </si>
  <si>
    <t>百元销售收入占用总投资</t>
  </si>
  <si>
    <t>元/百元</t>
  </si>
  <si>
    <t>百元销售收入占用流动资金</t>
  </si>
  <si>
    <t>全厂定员总计</t>
  </si>
  <si>
    <t>生产人员</t>
  </si>
  <si>
    <t>人</t>
  </si>
  <si>
    <t>管理即工程技术人员</t>
  </si>
  <si>
    <t>其他人员</t>
  </si>
  <si>
    <t>年平均成本</t>
  </si>
  <si>
    <t>年销售收入</t>
  </si>
  <si>
    <t>年利润</t>
  </si>
  <si>
    <t>全员生产劳动率</t>
  </si>
  <si>
    <t>万元/人年</t>
  </si>
  <si>
    <t>借款偿还期</t>
  </si>
  <si>
    <t>年</t>
  </si>
  <si>
    <t>含建设期</t>
  </si>
  <si>
    <t>静态投资回收期：税前</t>
  </si>
  <si>
    <t>投资利润率</t>
  </si>
  <si>
    <t>投资利税率</t>
  </si>
  <si>
    <t>财务内部收益率：税前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</si>
</sst>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%"/>
    <numFmt numFmtId="179" formatCode="0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27" applyNumberFormat="0" applyAlignment="0" applyProtection="0">
      <alignment vertical="center"/>
    </xf>
    <xf numFmtId="0" fontId="16" fillId="6" borderId="28" applyNumberFormat="0" applyAlignment="0" applyProtection="0">
      <alignment vertical="center"/>
    </xf>
    <xf numFmtId="0" fontId="17" fillId="6" borderId="27" applyNumberFormat="0" applyAlignment="0" applyProtection="0">
      <alignment vertical="center"/>
    </xf>
    <xf numFmtId="0" fontId="18" fillId="7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/>
    </xf>
    <xf numFmtId="49" fontId="0" fillId="2" borderId="4" xfId="0" applyNumberFormat="1" applyFill="1" applyBorder="1" applyAlignment="1">
      <alignment horizontal="center" vertical="center"/>
    </xf>
    <xf numFmtId="9" fontId="0" fillId="2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>
      <alignment vertical="center"/>
    </xf>
    <xf numFmtId="9" fontId="0" fillId="0" borderId="4" xfId="0" applyNumberForma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76" fontId="0" fillId="0" borderId="4" xfId="0" applyNumberFormat="1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2" borderId="4" xfId="0" applyFill="1" applyBorder="1">
      <alignment vertical="center"/>
    </xf>
    <xf numFmtId="9" fontId="2" fillId="2" borderId="4" xfId="0" applyNumberFormat="1" applyFont="1" applyFill="1" applyBorder="1">
      <alignment vertical="center"/>
    </xf>
    <xf numFmtId="40" fontId="2" fillId="2" borderId="4" xfId="0" applyNumberFormat="1" applyFont="1" applyFill="1" applyBorder="1">
      <alignment vertical="center"/>
    </xf>
    <xf numFmtId="0" fontId="2" fillId="2" borderId="4" xfId="0" applyFont="1" applyFill="1" applyBorder="1">
      <alignment vertical="center"/>
    </xf>
    <xf numFmtId="178" fontId="2" fillId="2" borderId="4" xfId="0" applyNumberFormat="1" applyFont="1" applyFill="1" applyBorder="1">
      <alignment vertical="center"/>
    </xf>
    <xf numFmtId="0" fontId="0" fillId="2" borderId="9" xfId="0" applyFill="1" applyBorder="1" applyAlignment="1">
      <alignment horizontal="center" vertical="center"/>
    </xf>
    <xf numFmtId="9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38" fontId="2" fillId="0" borderId="3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176" fontId="2" fillId="0" borderId="4" xfId="0" applyNumberFormat="1" applyFont="1" applyBorder="1">
      <alignment vertical="center"/>
    </xf>
    <xf numFmtId="179" fontId="0" fillId="0" borderId="0" xfId="0" applyNumberFormat="1">
      <alignment vertical="center"/>
    </xf>
    <xf numFmtId="49" fontId="0" fillId="0" borderId="4" xfId="0" applyNumberForma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0" fillId="0" borderId="19" xfId="0" applyBorder="1" applyAlignment="1">
      <alignment horizontal="left" vertical="center"/>
    </xf>
    <xf numFmtId="176" fontId="0" fillId="0" borderId="0" xfId="0" applyNumberFormat="1">
      <alignment vertical="center"/>
    </xf>
    <xf numFmtId="176" fontId="2" fillId="0" borderId="20" xfId="0" applyNumberFormat="1" applyFont="1" applyFill="1" applyBorder="1">
      <alignment vertical="center"/>
    </xf>
    <xf numFmtId="0" fontId="0" fillId="3" borderId="21" xfId="0" applyFill="1" applyBorder="1">
      <alignment vertical="center"/>
    </xf>
    <xf numFmtId="0" fontId="0" fillId="3" borderId="22" xfId="0" applyFill="1" applyBorder="1">
      <alignment vertical="center"/>
    </xf>
    <xf numFmtId="176" fontId="0" fillId="3" borderId="22" xfId="0" applyNumberFormat="1" applyFill="1" applyBorder="1">
      <alignment vertical="center"/>
    </xf>
    <xf numFmtId="176" fontId="2" fillId="3" borderId="23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1"/>
  <sheetViews>
    <sheetView workbookViewId="0">
      <selection activeCell="L23" sqref="L23"/>
    </sheetView>
  </sheetViews>
  <sheetFormatPr defaultColWidth="8.72727272727273" defaultRowHeight="14" outlineLevelCol="7"/>
  <cols>
    <col min="1" max="1" width="13.7272727272727" customWidth="1"/>
    <col min="2" max="2" width="14.9090909090909" customWidth="1"/>
    <col min="3" max="3" width="11.7272727272727" customWidth="1"/>
    <col min="4" max="4" width="11.2727272727273" customWidth="1"/>
    <col min="5" max="5" width="12.3636363636364" customWidth="1"/>
    <col min="6" max="6" width="9.63636363636364" customWidth="1"/>
    <col min="7" max="7" width="10.3636363636364" customWidth="1"/>
  </cols>
  <sheetData>
    <row r="1" ht="14.75"/>
    <row r="2" spans="2:8">
      <c r="B2" s="63" t="s">
        <v>0</v>
      </c>
      <c r="C2" s="64"/>
      <c r="D2" s="64"/>
      <c r="E2" s="64"/>
      <c r="F2" s="64"/>
      <c r="G2" s="64"/>
      <c r="H2" s="65"/>
    </row>
    <row r="3" ht="14.75" spans="2:8">
      <c r="B3" s="66"/>
      <c r="C3" s="67"/>
      <c r="D3" s="67"/>
      <c r="E3" s="67"/>
      <c r="F3" s="67"/>
      <c r="G3" s="67"/>
      <c r="H3" s="68"/>
    </row>
    <row r="4" ht="14.5" spans="2:8">
      <c r="B4" s="69" t="s">
        <v>1</v>
      </c>
      <c r="C4" s="70" t="s">
        <v>2</v>
      </c>
      <c r="D4" s="70" t="s">
        <v>3</v>
      </c>
      <c r="E4" s="70" t="s">
        <v>4</v>
      </c>
      <c r="F4" s="70" t="s">
        <v>5</v>
      </c>
      <c r="G4" s="70" t="s">
        <v>6</v>
      </c>
      <c r="H4" s="71" t="s">
        <v>7</v>
      </c>
    </row>
    <row r="5" spans="2:8">
      <c r="B5" s="72">
        <v>1</v>
      </c>
      <c r="C5" t="s">
        <v>8</v>
      </c>
      <c r="D5" s="73">
        <v>544</v>
      </c>
      <c r="E5" s="73">
        <v>904.2</v>
      </c>
      <c r="F5" s="73">
        <v>103.6</v>
      </c>
      <c r="G5" s="73">
        <v>0</v>
      </c>
      <c r="H5" s="74">
        <f>D5+E5+F5+G5</f>
        <v>1551.8</v>
      </c>
    </row>
    <row r="6" spans="2:8">
      <c r="B6" s="72">
        <v>1.1</v>
      </c>
      <c r="C6" t="s">
        <v>9</v>
      </c>
      <c r="D6" s="73">
        <v>544</v>
      </c>
      <c r="E6" s="73">
        <v>904.2</v>
      </c>
      <c r="F6" s="73">
        <v>103.6</v>
      </c>
      <c r="G6" s="73">
        <v>0</v>
      </c>
      <c r="H6" s="74">
        <f t="shared" ref="H6:H20" si="0">D6+E6+F6+G6</f>
        <v>1551.8</v>
      </c>
    </row>
    <row r="7" spans="2:8">
      <c r="B7" s="72" t="s">
        <v>10</v>
      </c>
      <c r="C7" t="s">
        <v>11</v>
      </c>
      <c r="D7" s="73">
        <v>544</v>
      </c>
      <c r="E7" s="73">
        <v>904.2</v>
      </c>
      <c r="F7" s="73">
        <v>103.6</v>
      </c>
      <c r="G7" s="73">
        <v>0</v>
      </c>
      <c r="H7" s="74">
        <f t="shared" si="0"/>
        <v>1551.8</v>
      </c>
    </row>
    <row r="8" spans="2:8">
      <c r="B8" s="72">
        <v>2</v>
      </c>
      <c r="C8" t="s">
        <v>12</v>
      </c>
      <c r="D8" s="73"/>
      <c r="E8" s="73"/>
      <c r="F8" s="73"/>
      <c r="G8" s="73">
        <v>242.4</v>
      </c>
      <c r="H8" s="74">
        <f t="shared" si="0"/>
        <v>242.4</v>
      </c>
    </row>
    <row r="9" spans="2:8">
      <c r="B9" s="72">
        <v>2.1</v>
      </c>
      <c r="C9" t="s">
        <v>13</v>
      </c>
      <c r="D9" s="73"/>
      <c r="E9" s="73"/>
      <c r="F9" s="73"/>
      <c r="G9" s="73">
        <v>130</v>
      </c>
      <c r="H9" s="74">
        <f t="shared" si="0"/>
        <v>130</v>
      </c>
    </row>
    <row r="10" spans="2:8">
      <c r="B10" s="72">
        <v>2.2</v>
      </c>
      <c r="C10" t="s">
        <v>14</v>
      </c>
      <c r="D10" s="73"/>
      <c r="E10" s="73"/>
      <c r="F10" s="73"/>
      <c r="G10" s="73"/>
      <c r="H10" s="74"/>
    </row>
    <row r="11" spans="2:8">
      <c r="B11" s="72">
        <v>2.3</v>
      </c>
      <c r="C11" t="s">
        <v>15</v>
      </c>
      <c r="D11" s="73"/>
      <c r="E11" s="73"/>
      <c r="F11" s="73"/>
      <c r="G11" s="73">
        <v>112.4</v>
      </c>
      <c r="H11" s="74">
        <f t="shared" si="0"/>
        <v>112.4</v>
      </c>
    </row>
    <row r="12" spans="2:8">
      <c r="B12" s="72">
        <v>3</v>
      </c>
      <c r="C12" t="s">
        <v>16</v>
      </c>
      <c r="D12" s="73"/>
      <c r="E12" s="73"/>
      <c r="F12" s="73"/>
      <c r="G12" s="73"/>
      <c r="H12" s="74"/>
    </row>
    <row r="13" spans="2:8">
      <c r="B13" s="72">
        <v>3.1</v>
      </c>
      <c r="C13" t="s">
        <v>17</v>
      </c>
      <c r="D13" s="73"/>
      <c r="E13" s="73"/>
      <c r="F13" s="73"/>
      <c r="G13" s="73"/>
      <c r="H13" s="74"/>
    </row>
    <row r="14" spans="2:8">
      <c r="B14" s="72">
        <v>3.2</v>
      </c>
      <c r="C14" t="s">
        <v>18</v>
      </c>
      <c r="D14" s="73"/>
      <c r="E14" s="73"/>
      <c r="F14" s="73"/>
      <c r="G14" s="73"/>
      <c r="H14" s="74"/>
    </row>
    <row r="15" spans="2:8">
      <c r="B15" s="72">
        <v>3.3</v>
      </c>
      <c r="C15" t="s">
        <v>19</v>
      </c>
      <c r="D15" s="73"/>
      <c r="E15" s="73"/>
      <c r="F15" s="73"/>
      <c r="G15" s="73"/>
      <c r="H15" s="74"/>
    </row>
    <row r="16" spans="2:8">
      <c r="B16" s="72">
        <v>3.4</v>
      </c>
      <c r="C16" t="s">
        <v>6</v>
      </c>
      <c r="D16" s="73"/>
      <c r="E16" s="73"/>
      <c r="F16" s="73"/>
      <c r="G16" s="73"/>
      <c r="H16" s="74"/>
    </row>
    <row r="17" spans="2:8">
      <c r="B17" s="72">
        <v>4</v>
      </c>
      <c r="C17" t="s">
        <v>20</v>
      </c>
      <c r="D17" s="73"/>
      <c r="E17" s="73"/>
      <c r="F17" s="73"/>
      <c r="G17" s="73"/>
      <c r="H17" s="74"/>
    </row>
    <row r="18" spans="2:8">
      <c r="B18" s="72">
        <v>5</v>
      </c>
      <c r="C18" t="s">
        <v>21</v>
      </c>
      <c r="D18" s="73"/>
      <c r="E18" s="73">
        <v>105.8</v>
      </c>
      <c r="F18" s="73"/>
      <c r="G18" s="73"/>
      <c r="H18" s="74">
        <f t="shared" si="0"/>
        <v>105.8</v>
      </c>
    </row>
    <row r="19" spans="2:8">
      <c r="B19" s="72">
        <v>5.1</v>
      </c>
      <c r="C19" t="s">
        <v>22</v>
      </c>
      <c r="D19" s="73"/>
      <c r="E19" s="73">
        <v>80</v>
      </c>
      <c r="F19" s="73"/>
      <c r="G19" s="73"/>
      <c r="H19" s="74">
        <f t="shared" si="0"/>
        <v>80</v>
      </c>
    </row>
    <row r="20" spans="2:8">
      <c r="B20" s="72">
        <v>5.2</v>
      </c>
      <c r="C20" t="s">
        <v>23</v>
      </c>
      <c r="D20" s="73"/>
      <c r="E20" s="73">
        <v>20.8</v>
      </c>
      <c r="F20" s="73"/>
      <c r="G20" s="73"/>
      <c r="H20" s="74">
        <f t="shared" si="0"/>
        <v>20.8</v>
      </c>
    </row>
    <row r="21" ht="14.75" spans="2:8">
      <c r="B21" s="75"/>
      <c r="C21" s="76" t="s">
        <v>24</v>
      </c>
      <c r="D21" s="77">
        <f>D5+D8+D12+D17+D18</f>
        <v>544</v>
      </c>
      <c r="E21" s="77">
        <f>E5+E8+E12+E17+E18</f>
        <v>1010</v>
      </c>
      <c r="F21" s="77">
        <f>F5+F8+F12+F17+F18</f>
        <v>103.6</v>
      </c>
      <c r="G21" s="77">
        <f>G5+G8+G12+G17+G18</f>
        <v>242.4</v>
      </c>
      <c r="H21" s="78">
        <f>H5+H8+H12+H17+H18</f>
        <v>1900</v>
      </c>
    </row>
  </sheetData>
  <mergeCells count="1">
    <mergeCell ref="B2:H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19"/>
  <sheetViews>
    <sheetView workbookViewId="0">
      <selection activeCell="F26" sqref="F26"/>
    </sheetView>
  </sheetViews>
  <sheetFormatPr defaultColWidth="8.72727272727273" defaultRowHeight="14"/>
  <cols>
    <col min="3" max="3" width="17.0909090909091" customWidth="1"/>
    <col min="4" max="4" width="10" customWidth="1"/>
    <col min="5" max="5" width="10.7272727272727" customWidth="1"/>
    <col min="6" max="6" width="11.0909090909091" customWidth="1"/>
  </cols>
  <sheetData>
    <row r="2" spans="2:12">
      <c r="B2" s="11" t="s">
        <v>1</v>
      </c>
      <c r="C2" s="11" t="s">
        <v>2</v>
      </c>
      <c r="D2" s="11" t="s">
        <v>25</v>
      </c>
      <c r="E2" s="11"/>
      <c r="F2" s="11"/>
      <c r="I2" s="11" t="s">
        <v>26</v>
      </c>
      <c r="J2" s="11"/>
      <c r="K2" s="11"/>
      <c r="L2" s="11"/>
    </row>
    <row r="3" spans="2:16">
      <c r="B3" s="11"/>
      <c r="C3" s="11"/>
      <c r="D3" s="14" t="s">
        <v>27</v>
      </c>
      <c r="E3" s="14" t="s">
        <v>28</v>
      </c>
      <c r="F3" s="14" t="s">
        <v>29</v>
      </c>
      <c r="G3" s="58"/>
      <c r="H3" s="58"/>
      <c r="I3" s="61" t="s">
        <v>30</v>
      </c>
      <c r="J3" s="61"/>
      <c r="K3" s="62">
        <f>(D15*10+E15*5+F15*5)/20</f>
        <v>2775.375</v>
      </c>
      <c r="L3" s="62"/>
      <c r="M3" s="58"/>
      <c r="N3" s="58"/>
      <c r="O3" s="58"/>
      <c r="P3" s="58"/>
    </row>
    <row r="4" spans="2:6">
      <c r="B4" s="29">
        <v>1</v>
      </c>
      <c r="C4" s="19" t="s">
        <v>31</v>
      </c>
      <c r="D4" s="19">
        <v>2013.3</v>
      </c>
      <c r="E4" s="19">
        <v>2013.3</v>
      </c>
      <c r="F4" s="19">
        <v>2013.3</v>
      </c>
    </row>
    <row r="5" spans="2:6">
      <c r="B5" s="29">
        <v>2</v>
      </c>
      <c r="C5" s="19" t="s">
        <v>32</v>
      </c>
      <c r="D5" s="30">
        <v>62</v>
      </c>
      <c r="E5" s="30">
        <v>62</v>
      </c>
      <c r="F5" s="30">
        <v>62</v>
      </c>
    </row>
    <row r="6" spans="2:6">
      <c r="B6" s="29">
        <v>2.1</v>
      </c>
      <c r="C6" s="19" t="s">
        <v>33</v>
      </c>
      <c r="D6" s="30">
        <v>2.5</v>
      </c>
      <c r="E6" s="30">
        <v>2.5</v>
      </c>
      <c r="F6" s="30">
        <v>2.5</v>
      </c>
    </row>
    <row r="7" spans="2:6">
      <c r="B7" s="29">
        <v>2.2</v>
      </c>
      <c r="C7" s="19" t="s">
        <v>34</v>
      </c>
      <c r="D7" s="30">
        <v>49.1</v>
      </c>
      <c r="E7" s="30">
        <v>49.1</v>
      </c>
      <c r="F7" s="30">
        <v>49.1</v>
      </c>
    </row>
    <row r="8" spans="2:6">
      <c r="B8" s="29">
        <v>2.3</v>
      </c>
      <c r="C8" s="19" t="s">
        <v>35</v>
      </c>
      <c r="D8" s="30">
        <v>10.4</v>
      </c>
      <c r="E8" s="30">
        <v>10.4</v>
      </c>
      <c r="F8" s="30">
        <v>10.4</v>
      </c>
    </row>
    <row r="9" spans="2:6">
      <c r="B9" s="29">
        <v>3</v>
      </c>
      <c r="C9" s="19" t="s">
        <v>36</v>
      </c>
      <c r="D9" s="59">
        <v>187.5</v>
      </c>
      <c r="E9" s="59">
        <v>187.5</v>
      </c>
      <c r="F9" s="59">
        <v>187.5</v>
      </c>
    </row>
    <row r="10" spans="2:6">
      <c r="B10" s="29">
        <v>4</v>
      </c>
      <c r="C10" s="19" t="s">
        <v>37</v>
      </c>
      <c r="D10" s="30">
        <v>49</v>
      </c>
      <c r="E10" s="30">
        <v>49</v>
      </c>
      <c r="F10" s="30">
        <v>49</v>
      </c>
    </row>
    <row r="11" spans="2:6">
      <c r="B11" s="29">
        <v>5</v>
      </c>
      <c r="C11" s="19" t="s">
        <v>38</v>
      </c>
      <c r="D11" s="30">
        <v>98</v>
      </c>
      <c r="E11" s="30">
        <v>98</v>
      </c>
      <c r="F11" s="30">
        <v>29.9</v>
      </c>
    </row>
    <row r="12" spans="2:6">
      <c r="B12" s="29">
        <v>6</v>
      </c>
      <c r="C12" s="19" t="s">
        <v>39</v>
      </c>
      <c r="D12" s="30">
        <v>19</v>
      </c>
      <c r="E12" s="30">
        <v>0</v>
      </c>
      <c r="F12" s="30">
        <v>0</v>
      </c>
    </row>
    <row r="13" spans="2:6">
      <c r="B13" s="29">
        <v>7</v>
      </c>
      <c r="C13" s="19" t="s">
        <v>40</v>
      </c>
      <c r="D13" s="59">
        <v>53.1</v>
      </c>
      <c r="E13" s="59">
        <v>53.1</v>
      </c>
      <c r="F13" s="59">
        <v>53.1</v>
      </c>
    </row>
    <row r="14" spans="2:6">
      <c r="B14" s="29">
        <v>8</v>
      </c>
      <c r="C14" s="19" t="s">
        <v>41</v>
      </c>
      <c r="D14" s="30">
        <v>320</v>
      </c>
      <c r="E14" s="30">
        <v>320</v>
      </c>
      <c r="F14" s="30">
        <v>320</v>
      </c>
    </row>
    <row r="15" spans="2:6">
      <c r="B15" s="29">
        <v>9</v>
      </c>
      <c r="C15" s="19" t="s">
        <v>42</v>
      </c>
      <c r="D15" s="59">
        <f>D4+D5+D9+D10+D12+D11+D13+D14</f>
        <v>2801.9</v>
      </c>
      <c r="E15" s="59">
        <f>E4+E5+E9+E10+E12+E11+E13+E14</f>
        <v>2782.9</v>
      </c>
      <c r="F15" s="59">
        <f>F4+F5+F9+F10+F12+F11+F13+F14</f>
        <v>2714.8</v>
      </c>
    </row>
    <row r="16" spans="2:6">
      <c r="B16" s="29">
        <v>9.1</v>
      </c>
      <c r="C16" s="19" t="s">
        <v>43</v>
      </c>
      <c r="D16" s="30">
        <f>SUM(D9:D14)</f>
        <v>726.6</v>
      </c>
      <c r="E16" s="30">
        <f>SUM(E9:E14)</f>
        <v>707.6</v>
      </c>
      <c r="F16" s="30">
        <f>SUM(F9:F14)</f>
        <v>639.5</v>
      </c>
    </row>
    <row r="17" spans="2:6">
      <c r="B17" s="29">
        <v>9.2</v>
      </c>
      <c r="C17" s="19" t="s">
        <v>44</v>
      </c>
      <c r="D17" s="30">
        <f>SUM(D4:D5)</f>
        <v>2075.3</v>
      </c>
      <c r="E17" s="30">
        <f>SUM(E4:E5)</f>
        <v>2075.3</v>
      </c>
      <c r="F17" s="30">
        <f>SUM(F4:F5)</f>
        <v>2075.3</v>
      </c>
    </row>
    <row r="18" spans="2:6">
      <c r="B18" s="29">
        <v>10</v>
      </c>
      <c r="C18" s="19" t="s">
        <v>45</v>
      </c>
      <c r="D18" s="30">
        <f>SUM(D4,D5,D9,D10,D14)</f>
        <v>2631.8</v>
      </c>
      <c r="E18" s="30">
        <f>SUM(E4,E5,E9,E10,E14)</f>
        <v>2631.8</v>
      </c>
      <c r="F18" s="30">
        <f>SUM(F4,F5,F9,F10,F14)</f>
        <v>2631.8</v>
      </c>
    </row>
    <row r="19" spans="4:6">
      <c r="D19" s="60"/>
      <c r="E19" s="60"/>
      <c r="F19" s="60"/>
    </row>
  </sheetData>
  <mergeCells count="6">
    <mergeCell ref="D2:F2"/>
    <mergeCell ref="I2:L2"/>
    <mergeCell ref="I3:J3"/>
    <mergeCell ref="K3:L3"/>
    <mergeCell ref="B2:B3"/>
    <mergeCell ref="C2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23"/>
  <sheetViews>
    <sheetView zoomScale="85" zoomScaleNormal="85" workbookViewId="0">
      <selection activeCell="M29" sqref="M29"/>
    </sheetView>
  </sheetViews>
  <sheetFormatPr defaultColWidth="8.72727272727273" defaultRowHeight="14"/>
  <cols>
    <col min="3" max="3" width="22.1818181818182" customWidth="1"/>
    <col min="21" max="23" width="9.54545454545454"/>
  </cols>
  <sheetData>
    <row r="2" spans="2:23">
      <c r="B2" s="11" t="s">
        <v>1</v>
      </c>
      <c r="C2" s="11" t="s">
        <v>2</v>
      </c>
      <c r="D2" s="11" t="s">
        <v>25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2:23">
      <c r="B3" s="11"/>
      <c r="C3" s="11"/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1">
        <v>20</v>
      </c>
      <c r="W3" s="11">
        <v>21</v>
      </c>
    </row>
    <row r="4" spans="2:23">
      <c r="B4" s="29">
        <v>1</v>
      </c>
      <c r="C4" s="19" t="s">
        <v>46</v>
      </c>
      <c r="D4" s="30">
        <v>4000</v>
      </c>
      <c r="E4" s="30">
        <v>4000</v>
      </c>
      <c r="F4" s="30">
        <v>4000</v>
      </c>
      <c r="G4" s="30">
        <v>4000</v>
      </c>
      <c r="H4" s="30">
        <v>4000</v>
      </c>
      <c r="I4" s="30">
        <v>4000</v>
      </c>
      <c r="J4" s="30">
        <v>4000</v>
      </c>
      <c r="K4" s="30">
        <v>4000</v>
      </c>
      <c r="L4" s="30">
        <v>4000</v>
      </c>
      <c r="M4" s="30">
        <v>4000</v>
      </c>
      <c r="N4" s="30">
        <v>4000</v>
      </c>
      <c r="O4" s="30">
        <v>4000</v>
      </c>
      <c r="P4" s="30">
        <v>4000</v>
      </c>
      <c r="Q4" s="30">
        <v>4000</v>
      </c>
      <c r="R4" s="30">
        <v>4000</v>
      </c>
      <c r="S4" s="30">
        <v>4000</v>
      </c>
      <c r="T4" s="30">
        <v>4000</v>
      </c>
      <c r="U4" s="30">
        <v>4000</v>
      </c>
      <c r="V4" s="30">
        <v>4000</v>
      </c>
      <c r="W4" s="30">
        <v>4000</v>
      </c>
    </row>
    <row r="5" spans="2:23">
      <c r="B5" s="29">
        <v>2</v>
      </c>
      <c r="C5" s="19" t="s">
        <v>47</v>
      </c>
      <c r="D5" s="30">
        <v>414</v>
      </c>
      <c r="E5" s="30">
        <v>414</v>
      </c>
      <c r="F5" s="30">
        <v>414</v>
      </c>
      <c r="G5" s="30">
        <v>414</v>
      </c>
      <c r="H5" s="30">
        <v>414</v>
      </c>
      <c r="I5" s="30">
        <v>414</v>
      </c>
      <c r="J5" s="30">
        <v>414</v>
      </c>
      <c r="K5" s="30">
        <v>414</v>
      </c>
      <c r="L5" s="30">
        <v>414</v>
      </c>
      <c r="M5" s="30">
        <v>414</v>
      </c>
      <c r="N5" s="30">
        <v>414</v>
      </c>
      <c r="O5" s="30">
        <v>414</v>
      </c>
      <c r="P5" s="30">
        <v>414</v>
      </c>
      <c r="Q5" s="30">
        <v>414</v>
      </c>
      <c r="R5" s="30">
        <v>414</v>
      </c>
      <c r="S5" s="30">
        <v>414</v>
      </c>
      <c r="T5" s="30">
        <v>414</v>
      </c>
      <c r="U5" s="30">
        <v>414</v>
      </c>
      <c r="V5" s="30">
        <v>414</v>
      </c>
      <c r="W5" s="30">
        <v>414</v>
      </c>
    </row>
    <row r="6" spans="2:23">
      <c r="B6" s="29">
        <v>3</v>
      </c>
      <c r="C6" s="19" t="s">
        <v>42</v>
      </c>
      <c r="D6" s="30">
        <v>2801.9</v>
      </c>
      <c r="E6" s="30">
        <v>2801.9</v>
      </c>
      <c r="F6" s="30">
        <v>2801.9</v>
      </c>
      <c r="G6" s="30">
        <v>2801.9</v>
      </c>
      <c r="H6" s="30">
        <v>2801.9</v>
      </c>
      <c r="I6" s="30">
        <v>2801.9</v>
      </c>
      <c r="J6" s="30">
        <v>2801.9</v>
      </c>
      <c r="K6" s="30">
        <v>2801.9</v>
      </c>
      <c r="L6" s="30">
        <v>2801.9</v>
      </c>
      <c r="M6" s="30">
        <v>2801.9</v>
      </c>
      <c r="N6" s="30">
        <v>2782.9</v>
      </c>
      <c r="O6" s="30">
        <v>2782.9</v>
      </c>
      <c r="P6" s="30">
        <v>2782.9</v>
      </c>
      <c r="Q6" s="30">
        <v>2782.9</v>
      </c>
      <c r="R6" s="30">
        <v>2782.9</v>
      </c>
      <c r="S6" s="30">
        <v>2714.8</v>
      </c>
      <c r="T6" s="30">
        <v>2714.8</v>
      </c>
      <c r="U6" s="30">
        <v>2714.8</v>
      </c>
      <c r="V6" s="30">
        <v>2714.8</v>
      </c>
      <c r="W6" s="30">
        <v>2714.8</v>
      </c>
    </row>
    <row r="7" spans="2:23">
      <c r="B7" s="29">
        <v>4</v>
      </c>
      <c r="C7" s="19" t="s">
        <v>48</v>
      </c>
      <c r="D7" s="30">
        <f>D4-D6-D5</f>
        <v>784.1</v>
      </c>
      <c r="E7" s="30">
        <f t="shared" ref="E7:M7" si="0">E4-E6-E5</f>
        <v>784.1</v>
      </c>
      <c r="F7" s="30">
        <f t="shared" si="0"/>
        <v>784.1</v>
      </c>
      <c r="G7" s="30">
        <f t="shared" si="0"/>
        <v>784.1</v>
      </c>
      <c r="H7" s="30">
        <f t="shared" si="0"/>
        <v>784.1</v>
      </c>
      <c r="I7" s="30">
        <f t="shared" si="0"/>
        <v>784.1</v>
      </c>
      <c r="J7" s="30">
        <f t="shared" si="0"/>
        <v>784.1</v>
      </c>
      <c r="K7" s="30">
        <f t="shared" si="0"/>
        <v>784.1</v>
      </c>
      <c r="L7" s="30">
        <f t="shared" si="0"/>
        <v>784.1</v>
      </c>
      <c r="M7" s="30">
        <f t="shared" si="0"/>
        <v>784.1</v>
      </c>
      <c r="N7" s="30">
        <f t="shared" ref="N7:W7" si="1">N4-N6-N5</f>
        <v>803.1</v>
      </c>
      <c r="O7" s="30">
        <f t="shared" si="1"/>
        <v>803.1</v>
      </c>
      <c r="P7" s="30">
        <f t="shared" si="1"/>
        <v>803.1</v>
      </c>
      <c r="Q7" s="30">
        <f t="shared" si="1"/>
        <v>803.1</v>
      </c>
      <c r="R7" s="30">
        <f t="shared" si="1"/>
        <v>803.1</v>
      </c>
      <c r="S7" s="30">
        <f t="shared" si="1"/>
        <v>871.2</v>
      </c>
      <c r="T7" s="30">
        <f t="shared" si="1"/>
        <v>871.2</v>
      </c>
      <c r="U7" s="30">
        <f t="shared" si="1"/>
        <v>871.2</v>
      </c>
      <c r="V7" s="30">
        <f t="shared" si="1"/>
        <v>871.2</v>
      </c>
      <c r="W7" s="30">
        <f t="shared" si="1"/>
        <v>871.2</v>
      </c>
    </row>
    <row r="8" spans="2:23">
      <c r="B8" s="29">
        <v>5</v>
      </c>
      <c r="C8" s="19" t="s">
        <v>49</v>
      </c>
      <c r="D8" s="30">
        <v>0</v>
      </c>
      <c r="E8" s="30">
        <v>0</v>
      </c>
      <c r="F8" s="30">
        <v>0</v>
      </c>
      <c r="G8" s="30">
        <f>G7*0.25</f>
        <v>196.025</v>
      </c>
      <c r="H8" s="30">
        <f t="shared" ref="H8:W8" si="2">H7*0.25</f>
        <v>196.025</v>
      </c>
      <c r="I8" s="30">
        <f t="shared" si="2"/>
        <v>196.025</v>
      </c>
      <c r="J8" s="30">
        <f t="shared" si="2"/>
        <v>196.025</v>
      </c>
      <c r="K8" s="30">
        <f t="shared" si="2"/>
        <v>196.025</v>
      </c>
      <c r="L8" s="30">
        <f t="shared" si="2"/>
        <v>196.025</v>
      </c>
      <c r="M8" s="30">
        <f t="shared" si="2"/>
        <v>196.025</v>
      </c>
      <c r="N8" s="30">
        <f t="shared" si="2"/>
        <v>200.775</v>
      </c>
      <c r="O8" s="30">
        <f t="shared" si="2"/>
        <v>200.775</v>
      </c>
      <c r="P8" s="30">
        <f t="shared" si="2"/>
        <v>200.775</v>
      </c>
      <c r="Q8" s="30">
        <f t="shared" si="2"/>
        <v>200.775</v>
      </c>
      <c r="R8" s="30">
        <f t="shared" si="2"/>
        <v>200.775</v>
      </c>
      <c r="S8" s="30">
        <f t="shared" si="2"/>
        <v>217.8</v>
      </c>
      <c r="T8" s="30">
        <f t="shared" si="2"/>
        <v>217.8</v>
      </c>
      <c r="U8" s="30">
        <f t="shared" si="2"/>
        <v>217.8</v>
      </c>
      <c r="V8" s="30">
        <f t="shared" si="2"/>
        <v>217.8</v>
      </c>
      <c r="W8" s="30">
        <f t="shared" si="2"/>
        <v>217.8</v>
      </c>
    </row>
    <row r="9" spans="2:23">
      <c r="B9" s="29">
        <v>6</v>
      </c>
      <c r="C9" s="19" t="s">
        <v>50</v>
      </c>
      <c r="D9" s="30">
        <f>D7-D8</f>
        <v>784.1</v>
      </c>
      <c r="E9" s="30">
        <f t="shared" ref="E9:W9" si="3">E7-E8</f>
        <v>784.1</v>
      </c>
      <c r="F9" s="30">
        <f t="shared" si="3"/>
        <v>784.1</v>
      </c>
      <c r="G9" s="30">
        <f t="shared" si="3"/>
        <v>588.075</v>
      </c>
      <c r="H9" s="30">
        <f t="shared" si="3"/>
        <v>588.075</v>
      </c>
      <c r="I9" s="30">
        <f t="shared" si="3"/>
        <v>588.075</v>
      </c>
      <c r="J9" s="30">
        <f t="shared" si="3"/>
        <v>588.075</v>
      </c>
      <c r="K9" s="30">
        <f t="shared" si="3"/>
        <v>588.075</v>
      </c>
      <c r="L9" s="30">
        <f t="shared" si="3"/>
        <v>588.075</v>
      </c>
      <c r="M9" s="30">
        <f t="shared" si="3"/>
        <v>588.075</v>
      </c>
      <c r="N9" s="30">
        <f t="shared" si="3"/>
        <v>602.325</v>
      </c>
      <c r="O9" s="30">
        <f t="shared" si="3"/>
        <v>602.325</v>
      </c>
      <c r="P9" s="30">
        <f t="shared" si="3"/>
        <v>602.325</v>
      </c>
      <c r="Q9" s="30">
        <f t="shared" si="3"/>
        <v>602.325</v>
      </c>
      <c r="R9" s="30">
        <f t="shared" si="3"/>
        <v>602.325</v>
      </c>
      <c r="S9" s="30">
        <f t="shared" si="3"/>
        <v>653.4</v>
      </c>
      <c r="T9" s="30">
        <f t="shared" si="3"/>
        <v>653.4</v>
      </c>
      <c r="U9" s="30">
        <f t="shared" si="3"/>
        <v>653.4</v>
      </c>
      <c r="V9" s="30">
        <f t="shared" si="3"/>
        <v>653.4</v>
      </c>
      <c r="W9" s="30">
        <f t="shared" si="3"/>
        <v>653.4</v>
      </c>
    </row>
    <row r="10" spans="2:23">
      <c r="B10" s="29">
        <v>7</v>
      </c>
      <c r="C10" s="19" t="s">
        <v>51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2:23">
      <c r="B11" s="29">
        <v>8</v>
      </c>
      <c r="C11" s="19" t="s">
        <v>52</v>
      </c>
      <c r="D11" s="30">
        <f>D9</f>
        <v>784.1</v>
      </c>
      <c r="E11" s="30">
        <f t="shared" ref="E11:W11" si="4">E9</f>
        <v>784.1</v>
      </c>
      <c r="F11" s="30">
        <f t="shared" si="4"/>
        <v>784.1</v>
      </c>
      <c r="G11" s="30">
        <f t="shared" si="4"/>
        <v>588.075</v>
      </c>
      <c r="H11" s="30">
        <f t="shared" si="4"/>
        <v>588.075</v>
      </c>
      <c r="I11" s="30">
        <f t="shared" si="4"/>
        <v>588.075</v>
      </c>
      <c r="J11" s="30">
        <f t="shared" si="4"/>
        <v>588.075</v>
      </c>
      <c r="K11" s="30">
        <f t="shared" si="4"/>
        <v>588.075</v>
      </c>
      <c r="L11" s="30">
        <f t="shared" si="4"/>
        <v>588.075</v>
      </c>
      <c r="M11" s="30">
        <f t="shared" si="4"/>
        <v>588.075</v>
      </c>
      <c r="N11" s="30">
        <f t="shared" si="4"/>
        <v>602.325</v>
      </c>
      <c r="O11" s="30">
        <f t="shared" si="4"/>
        <v>602.325</v>
      </c>
      <c r="P11" s="30">
        <f t="shared" si="4"/>
        <v>602.325</v>
      </c>
      <c r="Q11" s="30">
        <f t="shared" si="4"/>
        <v>602.325</v>
      </c>
      <c r="R11" s="30">
        <f t="shared" si="4"/>
        <v>602.325</v>
      </c>
      <c r="S11" s="30">
        <f t="shared" si="4"/>
        <v>653.4</v>
      </c>
      <c r="T11" s="30">
        <f t="shared" si="4"/>
        <v>653.4</v>
      </c>
      <c r="U11" s="30">
        <f t="shared" si="4"/>
        <v>653.4</v>
      </c>
      <c r="V11" s="30">
        <f t="shared" si="4"/>
        <v>653.4</v>
      </c>
      <c r="W11" s="30">
        <f t="shared" si="4"/>
        <v>653.4</v>
      </c>
    </row>
    <row r="12" spans="2:23">
      <c r="B12" s="29">
        <v>8.1</v>
      </c>
      <c r="C12" s="19" t="s">
        <v>53</v>
      </c>
      <c r="D12" s="30">
        <f>D11*0.1</f>
        <v>78.41</v>
      </c>
      <c r="E12" s="30">
        <f t="shared" ref="E12:W12" si="5">E11*0.1</f>
        <v>78.41</v>
      </c>
      <c r="F12" s="30">
        <f t="shared" si="5"/>
        <v>78.41</v>
      </c>
      <c r="G12" s="30">
        <f t="shared" si="5"/>
        <v>58.8075</v>
      </c>
      <c r="H12" s="30">
        <f t="shared" si="5"/>
        <v>58.8075</v>
      </c>
      <c r="I12" s="30">
        <f t="shared" si="5"/>
        <v>58.8075</v>
      </c>
      <c r="J12" s="30">
        <f t="shared" si="5"/>
        <v>58.8075</v>
      </c>
      <c r="K12" s="30">
        <f t="shared" si="5"/>
        <v>58.8075</v>
      </c>
      <c r="L12" s="30">
        <f t="shared" si="5"/>
        <v>58.8075</v>
      </c>
      <c r="M12" s="30">
        <f t="shared" si="5"/>
        <v>58.8075</v>
      </c>
      <c r="N12" s="30">
        <f t="shared" si="5"/>
        <v>60.2325</v>
      </c>
      <c r="O12" s="30">
        <f t="shared" si="5"/>
        <v>60.2325</v>
      </c>
      <c r="P12" s="30">
        <f t="shared" si="5"/>
        <v>60.2325</v>
      </c>
      <c r="Q12" s="30">
        <f t="shared" si="5"/>
        <v>60.2325</v>
      </c>
      <c r="R12" s="30">
        <f t="shared" si="5"/>
        <v>60.2325</v>
      </c>
      <c r="S12" s="30">
        <f t="shared" si="5"/>
        <v>65.34</v>
      </c>
      <c r="T12" s="30">
        <f t="shared" si="5"/>
        <v>65.34</v>
      </c>
      <c r="U12" s="30">
        <f t="shared" si="5"/>
        <v>65.34</v>
      </c>
      <c r="V12" s="30">
        <f t="shared" si="5"/>
        <v>65.34</v>
      </c>
      <c r="W12" s="30">
        <f t="shared" si="5"/>
        <v>65.34</v>
      </c>
    </row>
    <row r="13" spans="2:23">
      <c r="B13" s="29">
        <v>8.2</v>
      </c>
      <c r="C13" s="19" t="s">
        <v>54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2:23">
      <c r="B14" s="29">
        <v>8.3</v>
      </c>
      <c r="C14" s="19" t="s">
        <v>55</v>
      </c>
      <c r="D14" s="30">
        <f>D11-D12</f>
        <v>705.69</v>
      </c>
      <c r="E14" s="30">
        <f t="shared" ref="E14:W14" si="6">E11-E12</f>
        <v>705.69</v>
      </c>
      <c r="F14" s="30">
        <f t="shared" si="6"/>
        <v>705.69</v>
      </c>
      <c r="G14" s="30">
        <f t="shared" si="6"/>
        <v>529.2675</v>
      </c>
      <c r="H14" s="30">
        <f t="shared" si="6"/>
        <v>529.2675</v>
      </c>
      <c r="I14" s="30">
        <f t="shared" si="6"/>
        <v>529.2675</v>
      </c>
      <c r="J14" s="30">
        <f t="shared" si="6"/>
        <v>529.2675</v>
      </c>
      <c r="K14" s="30">
        <f t="shared" si="6"/>
        <v>529.2675</v>
      </c>
      <c r="L14" s="30">
        <f t="shared" si="6"/>
        <v>529.2675</v>
      </c>
      <c r="M14" s="30">
        <f t="shared" si="6"/>
        <v>529.2675</v>
      </c>
      <c r="N14" s="30">
        <f t="shared" si="6"/>
        <v>542.0925</v>
      </c>
      <c r="O14" s="30">
        <f t="shared" si="6"/>
        <v>542.0925</v>
      </c>
      <c r="P14" s="30">
        <f t="shared" si="6"/>
        <v>542.0925</v>
      </c>
      <c r="Q14" s="30">
        <f t="shared" si="6"/>
        <v>542.0925</v>
      </c>
      <c r="R14" s="30">
        <f t="shared" si="6"/>
        <v>542.0925</v>
      </c>
      <c r="S14" s="30">
        <f t="shared" si="6"/>
        <v>588.06</v>
      </c>
      <c r="T14" s="30">
        <f t="shared" si="6"/>
        <v>588.06</v>
      </c>
      <c r="U14" s="30">
        <f t="shared" si="6"/>
        <v>588.06</v>
      </c>
      <c r="V14" s="30">
        <f t="shared" si="6"/>
        <v>588.06</v>
      </c>
      <c r="W14" s="30">
        <f t="shared" si="6"/>
        <v>588.06</v>
      </c>
    </row>
    <row r="15" spans="2:23">
      <c r="B15" s="29">
        <v>9</v>
      </c>
      <c r="C15" s="19" t="s">
        <v>56</v>
      </c>
      <c r="D15" s="30">
        <f>D14</f>
        <v>705.69</v>
      </c>
      <c r="E15" s="30">
        <f>D15+E14</f>
        <v>1411.38</v>
      </c>
      <c r="F15" s="30">
        <f t="shared" ref="F15:W15" si="7">E15+F14</f>
        <v>2117.07</v>
      </c>
      <c r="G15" s="30">
        <f t="shared" si="7"/>
        <v>2646.3375</v>
      </c>
      <c r="H15" s="30">
        <f t="shared" si="7"/>
        <v>3175.605</v>
      </c>
      <c r="I15" s="30">
        <f t="shared" si="7"/>
        <v>3704.8725</v>
      </c>
      <c r="J15" s="30">
        <f t="shared" si="7"/>
        <v>4234.14</v>
      </c>
      <c r="K15" s="30">
        <f t="shared" si="7"/>
        <v>4763.4075</v>
      </c>
      <c r="L15" s="30">
        <f t="shared" si="7"/>
        <v>5292.675</v>
      </c>
      <c r="M15" s="30">
        <f t="shared" si="7"/>
        <v>5821.9425</v>
      </c>
      <c r="N15" s="30">
        <f t="shared" si="7"/>
        <v>6364.035</v>
      </c>
      <c r="O15" s="30">
        <f t="shared" si="7"/>
        <v>6906.1275</v>
      </c>
      <c r="P15" s="30">
        <f t="shared" si="7"/>
        <v>7448.22</v>
      </c>
      <c r="Q15" s="30">
        <f t="shared" si="7"/>
        <v>7990.3125</v>
      </c>
      <c r="R15" s="30">
        <f t="shared" si="7"/>
        <v>8532.405</v>
      </c>
      <c r="S15" s="30">
        <f t="shared" si="7"/>
        <v>9120.465</v>
      </c>
      <c r="T15" s="30">
        <f t="shared" si="7"/>
        <v>9708.525</v>
      </c>
      <c r="U15" s="30">
        <f t="shared" si="7"/>
        <v>10296.585</v>
      </c>
      <c r="V15" s="30">
        <f t="shared" si="7"/>
        <v>10884.645</v>
      </c>
      <c r="W15" s="30">
        <f t="shared" si="7"/>
        <v>11472.705</v>
      </c>
    </row>
    <row r="19" spans="2:5">
      <c r="B19" s="11" t="s">
        <v>57</v>
      </c>
      <c r="C19" s="11"/>
      <c r="D19" s="54">
        <f>SUM(D7:W7)/20</f>
        <v>810.625</v>
      </c>
      <c r="E19" s="54"/>
    </row>
    <row r="21" spans="2:5">
      <c r="B21" s="11" t="s">
        <v>58</v>
      </c>
      <c r="C21" s="11"/>
      <c r="D21" s="55">
        <f>SUM(D9:W9)/20</f>
        <v>637.3725</v>
      </c>
      <c r="E21" s="56"/>
    </row>
    <row r="23" spans="2:5">
      <c r="B23" s="10" t="s">
        <v>59</v>
      </c>
      <c r="C23" s="10"/>
      <c r="D23" s="57">
        <f>SUM(D7:W7,D5:W5)/20</f>
        <v>1224.625</v>
      </c>
      <c r="E23" s="57"/>
    </row>
  </sheetData>
  <mergeCells count="9">
    <mergeCell ref="D2:W2"/>
    <mergeCell ref="B19:C19"/>
    <mergeCell ref="D19:E19"/>
    <mergeCell ref="B21:C21"/>
    <mergeCell ref="D21:E21"/>
    <mergeCell ref="B23:C23"/>
    <mergeCell ref="D23:E23"/>
    <mergeCell ref="B2:B3"/>
    <mergeCell ref="C2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33"/>
  <sheetViews>
    <sheetView zoomScale="85" zoomScaleNormal="85" workbookViewId="0">
      <selection activeCell="D27" sqref="D27:E27"/>
    </sheetView>
  </sheetViews>
  <sheetFormatPr defaultColWidth="8.72727272727273" defaultRowHeight="14"/>
  <cols>
    <col min="3" max="3" width="24.9090909090909" customWidth="1"/>
  </cols>
  <sheetData>
    <row r="2" ht="38" customHeight="1" spans="2:24">
      <c r="B2" s="27" t="s">
        <v>60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42"/>
    </row>
    <row r="3" spans="2:24">
      <c r="B3" s="11" t="s">
        <v>1</v>
      </c>
      <c r="C3" s="11" t="s">
        <v>2</v>
      </c>
      <c r="D3" s="11" t="s">
        <v>25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2:24">
      <c r="B4" s="11"/>
      <c r="C4" s="11"/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13</v>
      </c>
      <c r="Q4" s="11">
        <v>14</v>
      </c>
      <c r="R4" s="11">
        <v>15</v>
      </c>
      <c r="S4" s="11">
        <v>16</v>
      </c>
      <c r="T4" s="11">
        <v>17</v>
      </c>
      <c r="U4" s="11">
        <v>18</v>
      </c>
      <c r="V4" s="11">
        <v>19</v>
      </c>
      <c r="W4" s="11">
        <v>20</v>
      </c>
      <c r="X4" s="11">
        <v>21</v>
      </c>
    </row>
    <row r="5" spans="2:24">
      <c r="B5" s="29">
        <v>1</v>
      </c>
      <c r="C5" s="19" t="s">
        <v>61</v>
      </c>
      <c r="D5" s="19">
        <v>0</v>
      </c>
      <c r="E5" s="19">
        <v>4000</v>
      </c>
      <c r="F5" s="19">
        <v>4000</v>
      </c>
      <c r="G5" s="19">
        <v>4000</v>
      </c>
      <c r="H5" s="19">
        <v>4000</v>
      </c>
      <c r="I5" s="19">
        <v>4000</v>
      </c>
      <c r="J5" s="19">
        <v>4000</v>
      </c>
      <c r="K5" s="19">
        <v>4000</v>
      </c>
      <c r="L5" s="19">
        <v>4000</v>
      </c>
      <c r="M5" s="19">
        <v>4000</v>
      </c>
      <c r="N5" s="19">
        <v>4000</v>
      </c>
      <c r="O5" s="19">
        <v>4000</v>
      </c>
      <c r="P5" s="19">
        <v>4000</v>
      </c>
      <c r="Q5" s="19">
        <v>4000</v>
      </c>
      <c r="R5" s="19">
        <v>4000</v>
      </c>
      <c r="S5" s="19">
        <v>4000</v>
      </c>
      <c r="T5" s="19">
        <v>4000</v>
      </c>
      <c r="U5" s="19">
        <v>4000</v>
      </c>
      <c r="V5" s="19">
        <v>4000</v>
      </c>
      <c r="W5" s="19">
        <v>4000</v>
      </c>
      <c r="X5" s="19">
        <v>5085.5</v>
      </c>
    </row>
    <row r="6" spans="2:24">
      <c r="B6" s="29">
        <v>1.1</v>
      </c>
      <c r="C6" s="19" t="s">
        <v>46</v>
      </c>
      <c r="D6" s="19">
        <v>0</v>
      </c>
      <c r="E6" s="19">
        <v>4000</v>
      </c>
      <c r="F6" s="19">
        <v>4000</v>
      </c>
      <c r="G6" s="19">
        <v>4000</v>
      </c>
      <c r="H6" s="19">
        <v>4000</v>
      </c>
      <c r="I6" s="19">
        <v>4000</v>
      </c>
      <c r="J6" s="19">
        <v>4000</v>
      </c>
      <c r="K6" s="19">
        <v>4000</v>
      </c>
      <c r="L6" s="19">
        <v>4000</v>
      </c>
      <c r="M6" s="19">
        <v>4000</v>
      </c>
      <c r="N6" s="19">
        <v>4000</v>
      </c>
      <c r="O6" s="19">
        <v>4000</v>
      </c>
      <c r="P6" s="19">
        <v>4000</v>
      </c>
      <c r="Q6" s="19">
        <v>4000</v>
      </c>
      <c r="R6" s="19">
        <v>4000</v>
      </c>
      <c r="S6" s="19">
        <v>4000</v>
      </c>
      <c r="T6" s="19">
        <v>4000</v>
      </c>
      <c r="U6" s="19">
        <v>4000</v>
      </c>
      <c r="V6" s="19">
        <v>4000</v>
      </c>
      <c r="W6" s="19">
        <v>4000</v>
      </c>
      <c r="X6" s="19">
        <v>4000</v>
      </c>
    </row>
    <row r="7" spans="2:24">
      <c r="B7" s="29">
        <v>1.2</v>
      </c>
      <c r="C7" s="19" t="s">
        <v>62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</row>
    <row r="8" spans="2:24">
      <c r="B8" s="29">
        <v>1.3</v>
      </c>
      <c r="C8" s="19" t="s">
        <v>63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85.5</v>
      </c>
    </row>
    <row r="9" spans="2:24">
      <c r="B9" s="29">
        <v>1.4</v>
      </c>
      <c r="C9" s="19" t="s">
        <v>64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1000</v>
      </c>
    </row>
    <row r="10" spans="2:24">
      <c r="B10" s="29">
        <v>2</v>
      </c>
      <c r="C10" s="19" t="s">
        <v>65</v>
      </c>
      <c r="D10" s="19">
        <f>D11+D12+D14+D13</f>
        <v>1900</v>
      </c>
      <c r="E10" s="19">
        <f>E11+E12+E13+E14+E15</f>
        <v>4045.8</v>
      </c>
      <c r="F10" s="19">
        <f t="shared" ref="F10:X10" si="0">F11+F12+F13+F14+F15</f>
        <v>3045.8</v>
      </c>
      <c r="G10" s="19">
        <f t="shared" si="0"/>
        <v>3045.8</v>
      </c>
      <c r="H10" s="19">
        <f t="shared" si="0"/>
        <v>3045.8</v>
      </c>
      <c r="I10" s="19">
        <f t="shared" si="0"/>
        <v>3045.8</v>
      </c>
      <c r="J10" s="19">
        <f t="shared" si="0"/>
        <v>3045.8</v>
      </c>
      <c r="K10" s="19">
        <f t="shared" si="0"/>
        <v>3045.8</v>
      </c>
      <c r="L10" s="19">
        <f t="shared" si="0"/>
        <v>3045.8</v>
      </c>
      <c r="M10" s="19">
        <f t="shared" si="0"/>
        <v>3045.8</v>
      </c>
      <c r="N10" s="19">
        <f t="shared" si="0"/>
        <v>3045.8</v>
      </c>
      <c r="O10" s="19">
        <f t="shared" si="0"/>
        <v>3045.8</v>
      </c>
      <c r="P10" s="19">
        <f t="shared" si="0"/>
        <v>3045.8</v>
      </c>
      <c r="Q10" s="19">
        <f t="shared" si="0"/>
        <v>3045.8</v>
      </c>
      <c r="R10" s="19">
        <f t="shared" si="0"/>
        <v>3045.8</v>
      </c>
      <c r="S10" s="19">
        <f t="shared" si="0"/>
        <v>3045.8</v>
      </c>
      <c r="T10" s="19">
        <f t="shared" si="0"/>
        <v>3045.8</v>
      </c>
      <c r="U10" s="19">
        <f t="shared" si="0"/>
        <v>3045.8</v>
      </c>
      <c r="V10" s="19">
        <f t="shared" si="0"/>
        <v>3045.8</v>
      </c>
      <c r="W10" s="19">
        <f t="shared" si="0"/>
        <v>3045.8</v>
      </c>
      <c r="X10" s="19">
        <f t="shared" si="0"/>
        <v>3045.8</v>
      </c>
    </row>
    <row r="11" spans="2:24">
      <c r="B11" s="29">
        <v>2.1</v>
      </c>
      <c r="C11" s="19" t="s">
        <v>66</v>
      </c>
      <c r="D11" s="19">
        <v>1900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</row>
    <row r="12" spans="2:24">
      <c r="B12" s="29">
        <v>2.2</v>
      </c>
      <c r="C12" s="19" t="s">
        <v>67</v>
      </c>
      <c r="D12" s="19">
        <v>0</v>
      </c>
      <c r="E12" s="19">
        <v>1000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</row>
    <row r="13" spans="2:24">
      <c r="B13" s="29">
        <v>2.3</v>
      </c>
      <c r="C13" s="19" t="s">
        <v>45</v>
      </c>
      <c r="D13" s="19">
        <v>0</v>
      </c>
      <c r="E13" s="19">
        <v>2631.8</v>
      </c>
      <c r="F13" s="19">
        <v>2631.8</v>
      </c>
      <c r="G13" s="19">
        <v>2631.8</v>
      </c>
      <c r="H13" s="19">
        <v>2631.8</v>
      </c>
      <c r="I13" s="19">
        <v>2631.8</v>
      </c>
      <c r="J13" s="19">
        <v>2631.8</v>
      </c>
      <c r="K13" s="19">
        <v>2631.8</v>
      </c>
      <c r="L13" s="19">
        <v>2631.8</v>
      </c>
      <c r="M13" s="19">
        <v>2631.8</v>
      </c>
      <c r="N13" s="19">
        <v>2631.8</v>
      </c>
      <c r="O13" s="19">
        <v>2631.8</v>
      </c>
      <c r="P13" s="19">
        <v>2631.8</v>
      </c>
      <c r="Q13" s="19">
        <v>2631.8</v>
      </c>
      <c r="R13" s="19">
        <v>2631.8</v>
      </c>
      <c r="S13" s="19">
        <v>2631.8</v>
      </c>
      <c r="T13" s="19">
        <v>2631.8</v>
      </c>
      <c r="U13" s="19">
        <v>2631.8</v>
      </c>
      <c r="V13" s="19">
        <v>2631.8</v>
      </c>
      <c r="W13" s="19">
        <v>2631.8</v>
      </c>
      <c r="X13" s="19">
        <v>2631.8</v>
      </c>
    </row>
    <row r="14" spans="2:24">
      <c r="B14" s="29">
        <v>2.4</v>
      </c>
      <c r="C14" s="19" t="s">
        <v>68</v>
      </c>
      <c r="D14" s="19">
        <v>0</v>
      </c>
      <c r="E14" s="19">
        <v>414</v>
      </c>
      <c r="F14" s="19">
        <v>414</v>
      </c>
      <c r="G14" s="19">
        <v>414</v>
      </c>
      <c r="H14" s="19">
        <v>414</v>
      </c>
      <c r="I14" s="19">
        <v>414</v>
      </c>
      <c r="J14" s="19">
        <v>414</v>
      </c>
      <c r="K14" s="19">
        <v>414</v>
      </c>
      <c r="L14" s="19">
        <v>414</v>
      </c>
      <c r="M14" s="19">
        <v>414</v>
      </c>
      <c r="N14" s="19">
        <v>414</v>
      </c>
      <c r="O14" s="19">
        <v>414</v>
      </c>
      <c r="P14" s="19">
        <v>414</v>
      </c>
      <c r="Q14" s="19">
        <v>414</v>
      </c>
      <c r="R14" s="19">
        <v>414</v>
      </c>
      <c r="S14" s="19">
        <v>414</v>
      </c>
      <c r="T14" s="19">
        <v>414</v>
      </c>
      <c r="U14" s="19">
        <v>414</v>
      </c>
      <c r="V14" s="19">
        <v>414</v>
      </c>
      <c r="W14" s="19">
        <v>414</v>
      </c>
      <c r="X14" s="19">
        <v>414</v>
      </c>
    </row>
    <row r="15" spans="2:24">
      <c r="B15" s="29">
        <v>2.5</v>
      </c>
      <c r="C15" s="19" t="s">
        <v>69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</row>
    <row r="16" spans="2:24">
      <c r="B16" s="29">
        <v>3</v>
      </c>
      <c r="C16" s="19" t="s">
        <v>70</v>
      </c>
      <c r="D16" s="19">
        <f>D5-D10</f>
        <v>-1900</v>
      </c>
      <c r="E16" s="19">
        <f t="shared" ref="E16:X16" si="1">E5-E10</f>
        <v>-45.8000000000002</v>
      </c>
      <c r="F16" s="19">
        <f t="shared" si="1"/>
        <v>954.2</v>
      </c>
      <c r="G16" s="19">
        <f t="shared" si="1"/>
        <v>954.2</v>
      </c>
      <c r="H16" s="19">
        <f t="shared" si="1"/>
        <v>954.2</v>
      </c>
      <c r="I16" s="19">
        <f t="shared" si="1"/>
        <v>954.2</v>
      </c>
      <c r="J16" s="19">
        <f t="shared" si="1"/>
        <v>954.2</v>
      </c>
      <c r="K16" s="19">
        <f t="shared" si="1"/>
        <v>954.2</v>
      </c>
      <c r="L16" s="19">
        <f t="shared" si="1"/>
        <v>954.2</v>
      </c>
      <c r="M16" s="19">
        <f t="shared" si="1"/>
        <v>954.2</v>
      </c>
      <c r="N16" s="19">
        <f t="shared" si="1"/>
        <v>954.2</v>
      </c>
      <c r="O16" s="19">
        <f t="shared" si="1"/>
        <v>954.2</v>
      </c>
      <c r="P16" s="19">
        <f t="shared" si="1"/>
        <v>954.2</v>
      </c>
      <c r="Q16" s="19">
        <f t="shared" si="1"/>
        <v>954.2</v>
      </c>
      <c r="R16" s="19">
        <f t="shared" si="1"/>
        <v>954.2</v>
      </c>
      <c r="S16" s="19">
        <f t="shared" si="1"/>
        <v>954.2</v>
      </c>
      <c r="T16" s="19">
        <f t="shared" si="1"/>
        <v>954.2</v>
      </c>
      <c r="U16" s="19">
        <f t="shared" si="1"/>
        <v>954.2</v>
      </c>
      <c r="V16" s="19">
        <f t="shared" si="1"/>
        <v>954.2</v>
      </c>
      <c r="W16" s="19">
        <f t="shared" si="1"/>
        <v>954.2</v>
      </c>
      <c r="X16" s="19">
        <f t="shared" si="1"/>
        <v>2039.7</v>
      </c>
    </row>
    <row r="17" spans="2:24">
      <c r="B17" s="29">
        <v>4</v>
      </c>
      <c r="C17" s="19" t="s">
        <v>71</v>
      </c>
      <c r="D17" s="19">
        <f>D16</f>
        <v>-1900</v>
      </c>
      <c r="E17" s="19">
        <f>D17+E16</f>
        <v>-1945.8</v>
      </c>
      <c r="F17" s="19">
        <f t="shared" ref="F17:X17" si="2">E17+F16</f>
        <v>-991.6</v>
      </c>
      <c r="G17" s="19">
        <f t="shared" si="2"/>
        <v>-37.4000000000005</v>
      </c>
      <c r="H17" s="19">
        <f t="shared" si="2"/>
        <v>916.799999999999</v>
      </c>
      <c r="I17" s="19">
        <f t="shared" si="2"/>
        <v>1871</v>
      </c>
      <c r="J17" s="19">
        <f t="shared" si="2"/>
        <v>2825.2</v>
      </c>
      <c r="K17" s="19">
        <f t="shared" si="2"/>
        <v>3779.4</v>
      </c>
      <c r="L17" s="19">
        <f t="shared" si="2"/>
        <v>4733.6</v>
      </c>
      <c r="M17" s="19">
        <f t="shared" si="2"/>
        <v>5687.8</v>
      </c>
      <c r="N17" s="19">
        <f t="shared" si="2"/>
        <v>6642</v>
      </c>
      <c r="O17" s="19">
        <f t="shared" si="2"/>
        <v>7596.2</v>
      </c>
      <c r="P17" s="19">
        <f t="shared" si="2"/>
        <v>8550.4</v>
      </c>
      <c r="Q17" s="19">
        <f t="shared" si="2"/>
        <v>9504.6</v>
      </c>
      <c r="R17" s="19">
        <f t="shared" si="2"/>
        <v>10458.8</v>
      </c>
      <c r="S17" s="19">
        <f t="shared" si="2"/>
        <v>11413</v>
      </c>
      <c r="T17" s="19">
        <f t="shared" si="2"/>
        <v>12367.2</v>
      </c>
      <c r="U17" s="19">
        <f t="shared" si="2"/>
        <v>13321.4</v>
      </c>
      <c r="V17" s="19">
        <f t="shared" si="2"/>
        <v>14275.6</v>
      </c>
      <c r="W17" s="19">
        <f t="shared" si="2"/>
        <v>15229.8</v>
      </c>
      <c r="X17" s="19">
        <f t="shared" si="2"/>
        <v>17269.5</v>
      </c>
    </row>
    <row r="18" spans="2:24">
      <c r="B18" s="29">
        <v>5</v>
      </c>
      <c r="C18" s="19" t="s">
        <v>72</v>
      </c>
      <c r="D18" s="19">
        <v>0</v>
      </c>
      <c r="E18" s="19">
        <v>0</v>
      </c>
      <c r="F18" s="19">
        <v>0</v>
      </c>
      <c r="G18" s="19">
        <v>0</v>
      </c>
      <c r="H18" s="30">
        <v>196</v>
      </c>
      <c r="I18" s="30">
        <v>196</v>
      </c>
      <c r="J18" s="30">
        <v>196</v>
      </c>
      <c r="K18" s="30">
        <v>196</v>
      </c>
      <c r="L18" s="30">
        <v>196</v>
      </c>
      <c r="M18" s="30">
        <v>196</v>
      </c>
      <c r="N18" s="30">
        <v>196</v>
      </c>
      <c r="O18" s="30">
        <v>200.8</v>
      </c>
      <c r="P18" s="30">
        <v>200.8</v>
      </c>
      <c r="Q18" s="30">
        <v>200.8</v>
      </c>
      <c r="R18" s="30">
        <v>200.8</v>
      </c>
      <c r="S18" s="30">
        <v>200.8</v>
      </c>
      <c r="T18" s="30">
        <v>217.8</v>
      </c>
      <c r="U18" s="30">
        <v>217.8</v>
      </c>
      <c r="V18" s="30">
        <v>217.8</v>
      </c>
      <c r="W18" s="30">
        <v>217.8</v>
      </c>
      <c r="X18" s="30">
        <v>217.8</v>
      </c>
    </row>
    <row r="19" spans="2:24">
      <c r="B19" s="29">
        <v>6</v>
      </c>
      <c r="C19" s="19" t="s">
        <v>73</v>
      </c>
      <c r="D19" s="19">
        <f>D16-D18</f>
        <v>-1900</v>
      </c>
      <c r="E19" s="19">
        <f t="shared" ref="E19:X19" si="3">E16-E18</f>
        <v>-45.8000000000002</v>
      </c>
      <c r="F19" s="19">
        <f t="shared" si="3"/>
        <v>954.2</v>
      </c>
      <c r="G19" s="19">
        <f t="shared" si="3"/>
        <v>954.2</v>
      </c>
      <c r="H19" s="19">
        <f t="shared" si="3"/>
        <v>758.2</v>
      </c>
      <c r="I19" s="19">
        <f t="shared" si="3"/>
        <v>758.2</v>
      </c>
      <c r="J19" s="19">
        <f t="shared" si="3"/>
        <v>758.2</v>
      </c>
      <c r="K19" s="19">
        <f t="shared" si="3"/>
        <v>758.2</v>
      </c>
      <c r="L19" s="19">
        <f t="shared" si="3"/>
        <v>758.2</v>
      </c>
      <c r="M19" s="19">
        <f t="shared" si="3"/>
        <v>758.2</v>
      </c>
      <c r="N19" s="19">
        <f t="shared" si="3"/>
        <v>758.2</v>
      </c>
      <c r="O19" s="19">
        <f t="shared" si="3"/>
        <v>753.4</v>
      </c>
      <c r="P19" s="19">
        <f t="shared" si="3"/>
        <v>753.4</v>
      </c>
      <c r="Q19" s="19">
        <f t="shared" si="3"/>
        <v>753.4</v>
      </c>
      <c r="R19" s="19">
        <f t="shared" si="3"/>
        <v>753.4</v>
      </c>
      <c r="S19" s="19">
        <f t="shared" si="3"/>
        <v>753.4</v>
      </c>
      <c r="T19" s="19">
        <f t="shared" si="3"/>
        <v>736.4</v>
      </c>
      <c r="U19" s="19">
        <f t="shared" si="3"/>
        <v>736.4</v>
      </c>
      <c r="V19" s="19">
        <f t="shared" si="3"/>
        <v>736.4</v>
      </c>
      <c r="W19" s="19">
        <f t="shared" si="3"/>
        <v>736.4</v>
      </c>
      <c r="X19" s="19">
        <f t="shared" si="3"/>
        <v>1821.9</v>
      </c>
    </row>
    <row r="20" spans="2:24">
      <c r="B20" s="29">
        <v>7</v>
      </c>
      <c r="C20" s="19" t="s">
        <v>74</v>
      </c>
      <c r="D20" s="19">
        <f>D19</f>
        <v>-1900</v>
      </c>
      <c r="E20" s="19">
        <f>D20+E19</f>
        <v>-1945.8</v>
      </c>
      <c r="F20" s="19">
        <f t="shared" ref="F20:X20" si="4">E20+F19</f>
        <v>-991.6</v>
      </c>
      <c r="G20" s="19">
        <f t="shared" si="4"/>
        <v>-37.4000000000005</v>
      </c>
      <c r="H20" s="19">
        <f t="shared" si="4"/>
        <v>720.799999999999</v>
      </c>
      <c r="I20" s="19">
        <f t="shared" si="4"/>
        <v>1479</v>
      </c>
      <c r="J20" s="19">
        <f t="shared" si="4"/>
        <v>2237.2</v>
      </c>
      <c r="K20" s="19">
        <f t="shared" si="4"/>
        <v>2995.4</v>
      </c>
      <c r="L20" s="19">
        <f t="shared" si="4"/>
        <v>3753.6</v>
      </c>
      <c r="M20" s="19">
        <f t="shared" si="4"/>
        <v>4511.8</v>
      </c>
      <c r="N20" s="19">
        <f t="shared" si="4"/>
        <v>5270</v>
      </c>
      <c r="O20" s="19">
        <f t="shared" si="4"/>
        <v>6023.4</v>
      </c>
      <c r="P20" s="19">
        <f t="shared" si="4"/>
        <v>6776.8</v>
      </c>
      <c r="Q20" s="19">
        <f t="shared" si="4"/>
        <v>7530.2</v>
      </c>
      <c r="R20" s="19">
        <f t="shared" si="4"/>
        <v>8283.6</v>
      </c>
      <c r="S20" s="19">
        <f t="shared" si="4"/>
        <v>9037</v>
      </c>
      <c r="T20" s="19">
        <f t="shared" si="4"/>
        <v>9773.4</v>
      </c>
      <c r="U20" s="19">
        <f t="shared" si="4"/>
        <v>10509.8</v>
      </c>
      <c r="V20" s="19">
        <f t="shared" si="4"/>
        <v>11246.2</v>
      </c>
      <c r="W20" s="19">
        <f t="shared" si="4"/>
        <v>11982.6</v>
      </c>
      <c r="X20" s="19">
        <f t="shared" si="4"/>
        <v>13804.5</v>
      </c>
    </row>
    <row r="23" spans="5:5">
      <c r="E23" s="43"/>
    </row>
    <row r="24" spans="2:7">
      <c r="B24" s="44" t="s">
        <v>75</v>
      </c>
      <c r="C24" s="45"/>
      <c r="D24" s="44" t="s">
        <v>76</v>
      </c>
      <c r="E24" s="45"/>
      <c r="F24" s="44" t="s">
        <v>77</v>
      </c>
      <c r="G24" s="45"/>
    </row>
    <row r="25" ht="20" customHeight="1" spans="2:7">
      <c r="B25" s="46" t="s">
        <v>78</v>
      </c>
      <c r="C25" s="47"/>
      <c r="D25" s="48">
        <f>IRR(D16:X16)</f>
        <v>0.36177324533573</v>
      </c>
      <c r="E25" s="49"/>
      <c r="F25" s="48">
        <f>IRR(D19:X19)</f>
        <v>0.327330934264304</v>
      </c>
      <c r="G25" s="49"/>
    </row>
    <row r="26" ht="21" customHeight="1" spans="2:7">
      <c r="B26" s="46" t="s">
        <v>79</v>
      </c>
      <c r="C26" s="47"/>
      <c r="D26" s="50">
        <f>NPV(12%,E16:X16)+D16</f>
        <v>4447.01623697133</v>
      </c>
      <c r="E26" s="51"/>
      <c r="F26" s="50">
        <f>NPV(12%,E19:X19)+D19</f>
        <v>3433.83611102149</v>
      </c>
      <c r="G26" s="51"/>
    </row>
    <row r="27" ht="25" customHeight="1" spans="2:7">
      <c r="B27" s="46" t="s">
        <v>80</v>
      </c>
      <c r="C27" s="47"/>
      <c r="D27" s="52">
        <f>4-G17/H17</f>
        <v>4.04079406631763</v>
      </c>
      <c r="E27" s="53"/>
      <c r="F27" s="52">
        <f>4-G20/H20</f>
        <v>4.05188679245283</v>
      </c>
      <c r="G27" s="53"/>
    </row>
    <row r="28" spans="2:7">
      <c r="B28" s="36"/>
      <c r="C28" s="36"/>
      <c r="D28" s="36"/>
      <c r="E28" s="36"/>
      <c r="F28" s="36"/>
      <c r="G28" s="36"/>
    </row>
    <row r="29" spans="2:7">
      <c r="B29" s="36"/>
      <c r="C29" s="36"/>
      <c r="D29" s="36"/>
      <c r="E29" s="36"/>
      <c r="F29" s="36"/>
      <c r="G29" s="36"/>
    </row>
    <row r="30" spans="2:7">
      <c r="B30" s="36"/>
      <c r="C30" s="36"/>
      <c r="D30" s="36"/>
      <c r="E30" s="36"/>
      <c r="F30" s="36"/>
      <c r="G30" s="36"/>
    </row>
    <row r="31" spans="2:7">
      <c r="B31" s="36"/>
      <c r="C31" s="36"/>
      <c r="D31" s="36"/>
      <c r="E31" s="36"/>
      <c r="F31" s="36"/>
      <c r="G31" s="36"/>
    </row>
    <row r="32" spans="2:7">
      <c r="B32" s="36"/>
      <c r="C32" s="36"/>
      <c r="D32" s="36"/>
      <c r="E32" s="36"/>
      <c r="F32" s="36"/>
      <c r="G32" s="36"/>
    </row>
    <row r="33" spans="2:7">
      <c r="B33" s="36"/>
      <c r="C33" s="36"/>
      <c r="D33" s="36"/>
      <c r="E33" s="36"/>
      <c r="F33" s="36"/>
      <c r="G33" s="36"/>
    </row>
  </sheetData>
  <mergeCells count="16">
    <mergeCell ref="B2:X2"/>
    <mergeCell ref="D3:X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3:B4"/>
    <mergeCell ref="C3:C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X29"/>
  <sheetViews>
    <sheetView zoomScale="85" zoomScaleNormal="85" workbookViewId="0">
      <selection activeCell="D24" sqref="D24"/>
    </sheetView>
  </sheetViews>
  <sheetFormatPr defaultColWidth="8.72727272727273" defaultRowHeight="14"/>
  <cols>
    <col min="3" max="3" width="24.7" customWidth="1"/>
    <col min="4" max="4" width="12.8181818181818"/>
  </cols>
  <sheetData>
    <row r="3" ht="23" spans="2:24">
      <c r="B3" s="27" t="s">
        <v>81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42"/>
    </row>
    <row r="4" spans="2:24">
      <c r="B4" s="11" t="s">
        <v>1</v>
      </c>
      <c r="C4" s="11" t="s">
        <v>2</v>
      </c>
      <c r="D4" s="11" t="s">
        <v>25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2:24">
      <c r="B5" s="11"/>
      <c r="C5" s="11"/>
      <c r="D5" s="11">
        <v>1</v>
      </c>
      <c r="E5" s="11">
        <v>2</v>
      </c>
      <c r="F5" s="11">
        <v>3</v>
      </c>
      <c r="G5" s="11">
        <v>4</v>
      </c>
      <c r="H5" s="11">
        <v>5</v>
      </c>
      <c r="I5" s="11">
        <v>6</v>
      </c>
      <c r="J5" s="11">
        <v>7</v>
      </c>
      <c r="K5" s="11">
        <v>8</v>
      </c>
      <c r="L5" s="11">
        <v>9</v>
      </c>
      <c r="M5" s="11">
        <v>10</v>
      </c>
      <c r="N5" s="11">
        <v>11</v>
      </c>
      <c r="O5" s="11">
        <v>12</v>
      </c>
      <c r="P5" s="11">
        <v>13</v>
      </c>
      <c r="Q5" s="11">
        <v>14</v>
      </c>
      <c r="R5" s="11">
        <v>15</v>
      </c>
      <c r="S5" s="11">
        <v>16</v>
      </c>
      <c r="T5" s="11">
        <v>17</v>
      </c>
      <c r="U5" s="11">
        <v>18</v>
      </c>
      <c r="V5" s="11">
        <v>19</v>
      </c>
      <c r="W5" s="11">
        <v>20</v>
      </c>
      <c r="X5" s="11">
        <v>21</v>
      </c>
    </row>
    <row r="6" spans="2:24">
      <c r="B6" s="29">
        <v>1</v>
      </c>
      <c r="C6" s="19" t="s">
        <v>61</v>
      </c>
      <c r="D6" s="19">
        <v>0</v>
      </c>
      <c r="E6" s="19">
        <v>4000</v>
      </c>
      <c r="F6" s="19">
        <v>4000</v>
      </c>
      <c r="G6" s="19">
        <v>4000</v>
      </c>
      <c r="H6" s="19">
        <v>4000</v>
      </c>
      <c r="I6" s="19">
        <v>4000</v>
      </c>
      <c r="J6" s="19">
        <v>4000</v>
      </c>
      <c r="K6" s="19">
        <v>4000</v>
      </c>
      <c r="L6" s="19">
        <v>4000</v>
      </c>
      <c r="M6" s="19">
        <v>4000</v>
      </c>
      <c r="N6" s="19">
        <v>4000</v>
      </c>
      <c r="O6" s="19">
        <v>4000</v>
      </c>
      <c r="P6" s="19">
        <v>4000</v>
      </c>
      <c r="Q6" s="19">
        <v>4000</v>
      </c>
      <c r="R6" s="19">
        <v>4000</v>
      </c>
      <c r="S6" s="19">
        <v>4000</v>
      </c>
      <c r="T6" s="19">
        <v>4000</v>
      </c>
      <c r="U6" s="19">
        <v>4000</v>
      </c>
      <c r="V6" s="19">
        <v>4000</v>
      </c>
      <c r="W6" s="19">
        <v>4000</v>
      </c>
      <c r="X6" s="19">
        <v>5085.5</v>
      </c>
    </row>
    <row r="7" spans="2:24">
      <c r="B7" s="29">
        <v>1.1</v>
      </c>
      <c r="C7" s="19" t="s">
        <v>46</v>
      </c>
      <c r="D7" s="19">
        <v>0</v>
      </c>
      <c r="E7" s="19">
        <v>4000</v>
      </c>
      <c r="F7" s="19">
        <v>4000</v>
      </c>
      <c r="G7" s="19">
        <v>4000</v>
      </c>
      <c r="H7" s="19">
        <v>4000</v>
      </c>
      <c r="I7" s="19">
        <v>4000</v>
      </c>
      <c r="J7" s="19">
        <v>4000</v>
      </c>
      <c r="K7" s="19">
        <v>4000</v>
      </c>
      <c r="L7" s="19">
        <v>4000</v>
      </c>
      <c r="M7" s="19">
        <v>4000</v>
      </c>
      <c r="N7" s="19">
        <v>4000</v>
      </c>
      <c r="O7" s="19">
        <v>4000</v>
      </c>
      <c r="P7" s="19">
        <v>4000</v>
      </c>
      <c r="Q7" s="19">
        <v>4000</v>
      </c>
      <c r="R7" s="19">
        <v>4000</v>
      </c>
      <c r="S7" s="19">
        <v>4000</v>
      </c>
      <c r="T7" s="19">
        <v>4000</v>
      </c>
      <c r="U7" s="19">
        <v>4000</v>
      </c>
      <c r="V7" s="19">
        <v>4000</v>
      </c>
      <c r="W7" s="19">
        <v>4000</v>
      </c>
      <c r="X7" s="19">
        <v>4000</v>
      </c>
    </row>
    <row r="8" spans="2:24">
      <c r="B8" s="29">
        <v>1.2</v>
      </c>
      <c r="C8" s="19" t="s">
        <v>62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</row>
    <row r="9" spans="2:24">
      <c r="B9" s="29">
        <v>1.3</v>
      </c>
      <c r="C9" s="19" t="s">
        <v>63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85.5</v>
      </c>
    </row>
    <row r="10" spans="2:24">
      <c r="B10" s="29">
        <v>1.4</v>
      </c>
      <c r="C10" s="19" t="s">
        <v>64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1000</v>
      </c>
    </row>
    <row r="11" spans="2:24">
      <c r="B11" s="29">
        <v>2</v>
      </c>
      <c r="C11" s="19" t="s">
        <v>65</v>
      </c>
      <c r="D11" s="19">
        <f>SUM(D12:D18)</f>
        <v>1900</v>
      </c>
      <c r="E11" s="19">
        <f t="shared" ref="E11:X11" si="0">SUM(E12:E18)</f>
        <v>3098.9</v>
      </c>
      <c r="F11" s="19">
        <f t="shared" si="0"/>
        <v>3098.9</v>
      </c>
      <c r="G11" s="19">
        <f t="shared" si="0"/>
        <v>3098.9</v>
      </c>
      <c r="H11" s="19">
        <f t="shared" si="0"/>
        <v>3294.9</v>
      </c>
      <c r="I11" s="19">
        <f t="shared" si="0"/>
        <v>3294.9</v>
      </c>
      <c r="J11" s="19">
        <f t="shared" si="0"/>
        <v>3294.9</v>
      </c>
      <c r="K11" s="19">
        <f t="shared" si="0"/>
        <v>3294.9</v>
      </c>
      <c r="L11" s="19">
        <f t="shared" si="0"/>
        <v>3294.9</v>
      </c>
      <c r="M11" s="19">
        <f t="shared" si="0"/>
        <v>3294.9</v>
      </c>
      <c r="N11" s="19">
        <f t="shared" si="0"/>
        <v>3294.9</v>
      </c>
      <c r="O11" s="19">
        <f t="shared" si="0"/>
        <v>3299.7</v>
      </c>
      <c r="P11" s="19">
        <f t="shared" si="0"/>
        <v>3299.7</v>
      </c>
      <c r="Q11" s="19">
        <f t="shared" si="0"/>
        <v>3299.7</v>
      </c>
      <c r="R11" s="19">
        <f t="shared" si="0"/>
        <v>3299.7</v>
      </c>
      <c r="S11" s="19">
        <f t="shared" si="0"/>
        <v>3299.7</v>
      </c>
      <c r="T11" s="19">
        <f t="shared" si="0"/>
        <v>3316.7</v>
      </c>
      <c r="U11" s="19">
        <f t="shared" si="0"/>
        <v>3316.7</v>
      </c>
      <c r="V11" s="19">
        <f t="shared" si="0"/>
        <v>3316.7</v>
      </c>
      <c r="W11" s="19">
        <f t="shared" si="0"/>
        <v>3316.7</v>
      </c>
      <c r="X11" s="19">
        <f t="shared" si="0"/>
        <v>3316.7</v>
      </c>
    </row>
    <row r="12" spans="2:24">
      <c r="B12" s="29">
        <v>2.1</v>
      </c>
      <c r="C12" s="19" t="s">
        <v>82</v>
      </c>
      <c r="D12" s="19">
        <v>1900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</row>
    <row r="13" spans="2:24">
      <c r="B13" s="29">
        <v>2.2</v>
      </c>
      <c r="C13" s="19" t="s">
        <v>83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</row>
    <row r="14" spans="2:24">
      <c r="B14" s="29">
        <v>2.3</v>
      </c>
      <c r="C14" s="19" t="s">
        <v>84</v>
      </c>
      <c r="D14" s="19">
        <v>0</v>
      </c>
      <c r="E14" s="19">
        <v>53.1</v>
      </c>
      <c r="F14" s="19">
        <v>53.1</v>
      </c>
      <c r="G14" s="19">
        <v>53.1</v>
      </c>
      <c r="H14" s="19">
        <v>53.1</v>
      </c>
      <c r="I14" s="19">
        <v>53.1</v>
      </c>
      <c r="J14" s="19">
        <v>53.1</v>
      </c>
      <c r="K14" s="19">
        <v>53.1</v>
      </c>
      <c r="L14" s="19">
        <v>53.1</v>
      </c>
      <c r="M14" s="19">
        <v>53.1</v>
      </c>
      <c r="N14" s="19">
        <v>53.1</v>
      </c>
      <c r="O14" s="19">
        <v>53.1</v>
      </c>
      <c r="P14" s="19">
        <v>53.1</v>
      </c>
      <c r="Q14" s="19">
        <v>53.1</v>
      </c>
      <c r="R14" s="19">
        <v>53.1</v>
      </c>
      <c r="S14" s="19">
        <v>53.1</v>
      </c>
      <c r="T14" s="19">
        <v>53.1</v>
      </c>
      <c r="U14" s="19">
        <v>53.1</v>
      </c>
      <c r="V14" s="19">
        <v>53.1</v>
      </c>
      <c r="W14" s="19">
        <v>53.1</v>
      </c>
      <c r="X14" s="19">
        <v>53.1</v>
      </c>
    </row>
    <row r="15" spans="2:24">
      <c r="B15" s="29">
        <v>2.4</v>
      </c>
      <c r="C15" s="19" t="s">
        <v>45</v>
      </c>
      <c r="D15" s="19">
        <v>0</v>
      </c>
      <c r="E15" s="19">
        <v>2631.8</v>
      </c>
      <c r="F15" s="19">
        <v>2631.8</v>
      </c>
      <c r="G15" s="19">
        <v>2631.8</v>
      </c>
      <c r="H15" s="19">
        <v>2631.8</v>
      </c>
      <c r="I15" s="19">
        <v>2631.8</v>
      </c>
      <c r="J15" s="19">
        <v>2631.8</v>
      </c>
      <c r="K15" s="19">
        <v>2631.8</v>
      </c>
      <c r="L15" s="19">
        <v>2631.8</v>
      </c>
      <c r="M15" s="19">
        <v>2631.8</v>
      </c>
      <c r="N15" s="19">
        <v>2631.8</v>
      </c>
      <c r="O15" s="19">
        <v>2631.8</v>
      </c>
      <c r="P15" s="19">
        <v>2631.8</v>
      </c>
      <c r="Q15" s="19">
        <v>2631.8</v>
      </c>
      <c r="R15" s="19">
        <v>2631.8</v>
      </c>
      <c r="S15" s="19">
        <v>2631.8</v>
      </c>
      <c r="T15" s="19">
        <v>2631.8</v>
      </c>
      <c r="U15" s="19">
        <v>2631.8</v>
      </c>
      <c r="V15" s="19">
        <v>2631.8</v>
      </c>
      <c r="W15" s="19">
        <v>2631.8</v>
      </c>
      <c r="X15" s="19">
        <v>2631.8</v>
      </c>
    </row>
    <row r="16" spans="2:24">
      <c r="B16" s="29">
        <v>2.5</v>
      </c>
      <c r="C16" s="19" t="s">
        <v>85</v>
      </c>
      <c r="D16" s="19">
        <v>0</v>
      </c>
      <c r="E16" s="19">
        <v>414</v>
      </c>
      <c r="F16" s="19">
        <v>414</v>
      </c>
      <c r="G16" s="19">
        <v>414</v>
      </c>
      <c r="H16" s="19">
        <v>414</v>
      </c>
      <c r="I16" s="19">
        <v>414</v>
      </c>
      <c r="J16" s="19">
        <v>414</v>
      </c>
      <c r="K16" s="19">
        <v>414</v>
      </c>
      <c r="L16" s="19">
        <v>414</v>
      </c>
      <c r="M16" s="19">
        <v>414</v>
      </c>
      <c r="N16" s="19">
        <v>414</v>
      </c>
      <c r="O16" s="19">
        <v>414</v>
      </c>
      <c r="P16" s="19">
        <v>414</v>
      </c>
      <c r="Q16" s="19">
        <v>414</v>
      </c>
      <c r="R16" s="19">
        <v>414</v>
      </c>
      <c r="S16" s="19">
        <v>414</v>
      </c>
      <c r="T16" s="19">
        <v>414</v>
      </c>
      <c r="U16" s="19">
        <v>414</v>
      </c>
      <c r="V16" s="19">
        <v>414</v>
      </c>
      <c r="W16" s="19">
        <v>414</v>
      </c>
      <c r="X16" s="19">
        <v>414</v>
      </c>
    </row>
    <row r="17" spans="2:24">
      <c r="B17" s="29">
        <v>2.6</v>
      </c>
      <c r="C17" s="19" t="s">
        <v>86</v>
      </c>
      <c r="D17" s="19">
        <v>0</v>
      </c>
      <c r="E17" s="19">
        <v>0</v>
      </c>
      <c r="F17" s="19">
        <v>0</v>
      </c>
      <c r="G17" s="19">
        <v>0</v>
      </c>
      <c r="H17" s="30">
        <v>196</v>
      </c>
      <c r="I17" s="30">
        <v>196</v>
      </c>
      <c r="J17" s="30">
        <v>196</v>
      </c>
      <c r="K17" s="30">
        <v>196</v>
      </c>
      <c r="L17" s="30">
        <v>196</v>
      </c>
      <c r="M17" s="30">
        <v>196</v>
      </c>
      <c r="N17" s="30">
        <v>196</v>
      </c>
      <c r="O17" s="30">
        <v>200.8</v>
      </c>
      <c r="P17" s="30">
        <v>200.8</v>
      </c>
      <c r="Q17" s="30">
        <v>200.8</v>
      </c>
      <c r="R17" s="30">
        <v>200.8</v>
      </c>
      <c r="S17" s="30">
        <v>200.8</v>
      </c>
      <c r="T17" s="30">
        <v>217.8</v>
      </c>
      <c r="U17" s="30">
        <v>217.8</v>
      </c>
      <c r="V17" s="30">
        <v>217.8</v>
      </c>
      <c r="W17" s="30">
        <v>217.8</v>
      </c>
      <c r="X17" s="30">
        <v>217.8</v>
      </c>
    </row>
    <row r="18" spans="2:24">
      <c r="B18" s="29">
        <v>2.7</v>
      </c>
      <c r="C18" s="19" t="s">
        <v>87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</row>
    <row r="19" spans="2:24">
      <c r="B19" s="31">
        <v>3</v>
      </c>
      <c r="C19" s="32" t="s">
        <v>88</v>
      </c>
      <c r="D19" s="32">
        <f>D6-D11</f>
        <v>-1900</v>
      </c>
      <c r="E19" s="32">
        <f t="shared" ref="E19:X19" si="1">E6-E11</f>
        <v>901.1</v>
      </c>
      <c r="F19" s="32">
        <f t="shared" si="1"/>
        <v>901.1</v>
      </c>
      <c r="G19" s="32">
        <f t="shared" si="1"/>
        <v>901.1</v>
      </c>
      <c r="H19" s="32">
        <f t="shared" si="1"/>
        <v>705.1</v>
      </c>
      <c r="I19" s="32">
        <f t="shared" si="1"/>
        <v>705.1</v>
      </c>
      <c r="J19" s="32">
        <f t="shared" si="1"/>
        <v>705.1</v>
      </c>
      <c r="K19" s="32">
        <f t="shared" si="1"/>
        <v>705.1</v>
      </c>
      <c r="L19" s="32">
        <f t="shared" si="1"/>
        <v>705.1</v>
      </c>
      <c r="M19" s="32">
        <f t="shared" si="1"/>
        <v>705.1</v>
      </c>
      <c r="N19" s="32">
        <f t="shared" si="1"/>
        <v>705.1</v>
      </c>
      <c r="O19" s="32">
        <f t="shared" si="1"/>
        <v>700.3</v>
      </c>
      <c r="P19" s="32">
        <f t="shared" si="1"/>
        <v>700.3</v>
      </c>
      <c r="Q19" s="32">
        <f t="shared" si="1"/>
        <v>700.3</v>
      </c>
      <c r="R19" s="32">
        <f t="shared" si="1"/>
        <v>700.3</v>
      </c>
      <c r="S19" s="32">
        <f t="shared" si="1"/>
        <v>700.3</v>
      </c>
      <c r="T19" s="32">
        <f t="shared" si="1"/>
        <v>683.3</v>
      </c>
      <c r="U19" s="32">
        <f t="shared" si="1"/>
        <v>683.3</v>
      </c>
      <c r="V19" s="32">
        <f t="shared" si="1"/>
        <v>683.3</v>
      </c>
      <c r="W19" s="32">
        <f t="shared" si="1"/>
        <v>683.3</v>
      </c>
      <c r="X19" s="32">
        <f t="shared" si="1"/>
        <v>1768.8</v>
      </c>
    </row>
    <row r="20" spans="2:24"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2:24"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3" ht="28" customHeight="1" spans="3:4">
      <c r="C23" s="37" t="s">
        <v>78</v>
      </c>
      <c r="D23" s="38">
        <f>IRR(D19:X19)</f>
        <v>0.439501510993994</v>
      </c>
    </row>
    <row r="24" ht="24" customHeight="1" spans="3:4">
      <c r="C24" s="37" t="s">
        <v>79</v>
      </c>
      <c r="D24" s="39">
        <f>NPV(12%,E19:X19)+D19</f>
        <v>3930.06579742684</v>
      </c>
    </row>
    <row r="26" spans="3:4">
      <c r="C26" s="37" t="s">
        <v>89</v>
      </c>
      <c r="D26" s="40">
        <v>810.6</v>
      </c>
    </row>
    <row r="27" spans="3:4">
      <c r="C27" s="37" t="s">
        <v>58</v>
      </c>
      <c r="D27" s="40">
        <v>637.4</v>
      </c>
    </row>
    <row r="28" spans="3:4">
      <c r="C28" s="37" t="s">
        <v>90</v>
      </c>
      <c r="D28" s="41">
        <f>D26/2900</f>
        <v>0.27951724137931</v>
      </c>
    </row>
    <row r="29" spans="3:4">
      <c r="C29" s="37" t="s">
        <v>91</v>
      </c>
      <c r="D29" s="41">
        <f>D27/1900</f>
        <v>0.335473684210526</v>
      </c>
    </row>
  </sheetData>
  <mergeCells count="4">
    <mergeCell ref="B3:X3"/>
    <mergeCell ref="D4:X4"/>
    <mergeCell ref="B4:B5"/>
    <mergeCell ref="C4:C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3"/>
  <sheetViews>
    <sheetView workbookViewId="0">
      <selection activeCell="O29" sqref="O29"/>
    </sheetView>
  </sheetViews>
  <sheetFormatPr defaultColWidth="8.72727272727273" defaultRowHeight="14"/>
  <sheetData>
    <row r="2" ht="23" spans="2:12">
      <c r="B2" s="9" t="s">
        <v>92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>
      <c r="B3" s="11" t="s">
        <v>1</v>
      </c>
      <c r="C3" s="12" t="s">
        <v>93</v>
      </c>
      <c r="D3" s="13"/>
      <c r="E3" s="11" t="s">
        <v>94</v>
      </c>
      <c r="F3" s="11" t="s">
        <v>95</v>
      </c>
      <c r="G3" s="11" t="s">
        <v>96</v>
      </c>
      <c r="H3" s="11"/>
      <c r="I3" s="11" t="s">
        <v>97</v>
      </c>
      <c r="J3" s="11"/>
      <c r="K3" s="11" t="s">
        <v>98</v>
      </c>
      <c r="L3" s="11"/>
    </row>
    <row r="4" spans="2:12">
      <c r="B4" s="11"/>
      <c r="C4" s="13"/>
      <c r="D4" s="13"/>
      <c r="E4" s="11"/>
      <c r="F4" s="11"/>
      <c r="G4" s="14" t="s">
        <v>99</v>
      </c>
      <c r="H4" s="15">
        <v>-0.1</v>
      </c>
      <c r="I4" s="14" t="s">
        <v>99</v>
      </c>
      <c r="J4" s="15">
        <v>-0.1</v>
      </c>
      <c r="K4" s="14" t="s">
        <v>99</v>
      </c>
      <c r="L4" s="15">
        <v>-0.1</v>
      </c>
    </row>
    <row r="5" spans="2:12">
      <c r="B5" s="16">
        <v>1</v>
      </c>
      <c r="C5" s="17" t="s">
        <v>100</v>
      </c>
      <c r="D5" s="18"/>
      <c r="E5" s="19"/>
      <c r="F5" s="19"/>
      <c r="G5" s="19"/>
      <c r="H5" s="19"/>
      <c r="I5" s="19"/>
      <c r="J5" s="19"/>
      <c r="K5" s="19"/>
      <c r="L5" s="19"/>
    </row>
    <row r="6" spans="2:12">
      <c r="B6" s="16"/>
      <c r="C6" s="17" t="s">
        <v>46</v>
      </c>
      <c r="D6" s="18"/>
      <c r="E6" s="19" t="s">
        <v>101</v>
      </c>
      <c r="F6" s="20">
        <v>0.36</v>
      </c>
      <c r="G6" s="21">
        <v>0.51</v>
      </c>
      <c r="H6" s="21">
        <v>0.22</v>
      </c>
      <c r="I6" s="21">
        <v>0.26</v>
      </c>
      <c r="J6" s="21">
        <v>0.48</v>
      </c>
      <c r="K6" s="21">
        <v>0.34</v>
      </c>
      <c r="L6" s="21">
        <v>0.39</v>
      </c>
    </row>
    <row r="7" spans="2:12">
      <c r="B7" s="16"/>
      <c r="C7" s="17" t="s">
        <v>62</v>
      </c>
      <c r="D7" s="18"/>
      <c r="E7" s="19" t="s">
        <v>101</v>
      </c>
      <c r="F7" s="20">
        <v>0.34</v>
      </c>
      <c r="G7" s="21">
        <v>0.46</v>
      </c>
      <c r="H7" s="21">
        <v>0.17</v>
      </c>
      <c r="I7" s="21">
        <v>0.22</v>
      </c>
      <c r="J7" s="21">
        <v>0.44</v>
      </c>
      <c r="K7" s="21">
        <v>0.29</v>
      </c>
      <c r="L7" s="21">
        <v>0.35</v>
      </c>
    </row>
    <row r="8" spans="2:12">
      <c r="B8" s="16">
        <v>2</v>
      </c>
      <c r="C8" s="17" t="s">
        <v>102</v>
      </c>
      <c r="D8" s="18"/>
      <c r="E8" s="19"/>
      <c r="F8" s="22"/>
      <c r="G8" s="23"/>
      <c r="H8" s="23"/>
      <c r="I8" s="23"/>
      <c r="J8" s="23"/>
      <c r="K8" s="23"/>
      <c r="L8" s="23"/>
    </row>
    <row r="9" spans="2:12">
      <c r="B9" s="16"/>
      <c r="C9" s="17" t="s">
        <v>103</v>
      </c>
      <c r="D9" s="18"/>
      <c r="E9" s="19"/>
      <c r="F9" s="24">
        <v>4447</v>
      </c>
      <c r="G9" s="25">
        <v>7001.57</v>
      </c>
      <c r="H9" s="25">
        <v>1892.47</v>
      </c>
      <c r="I9" s="25">
        <v>2652.59</v>
      </c>
      <c r="J9" s="25">
        <v>6588.51</v>
      </c>
      <c r="K9" s="25">
        <v>4257.02</v>
      </c>
      <c r="L9" s="25">
        <v>4637.02</v>
      </c>
    </row>
    <row r="10" spans="2:12">
      <c r="B10" s="16"/>
      <c r="C10" s="17" t="s">
        <v>104</v>
      </c>
      <c r="D10" s="18"/>
      <c r="E10" s="19"/>
      <c r="F10" s="24">
        <v>3734</v>
      </c>
      <c r="G10" s="25">
        <v>5481.57</v>
      </c>
      <c r="H10" s="25">
        <v>1312.52</v>
      </c>
      <c r="I10" s="25">
        <v>1947.01</v>
      </c>
      <c r="J10" s="25">
        <v>5267.82</v>
      </c>
      <c r="K10" s="25">
        <v>3243.78</v>
      </c>
      <c r="L10" s="25">
        <v>3623.78</v>
      </c>
    </row>
    <row r="11" spans="2:12">
      <c r="B11" s="16">
        <v>3</v>
      </c>
      <c r="C11" s="17" t="s">
        <v>80</v>
      </c>
      <c r="D11" s="18"/>
      <c r="E11" s="19"/>
      <c r="F11" s="22"/>
      <c r="G11" s="26"/>
      <c r="H11" s="23"/>
      <c r="I11" s="23"/>
      <c r="J11" s="23"/>
      <c r="K11" s="23"/>
      <c r="L11" s="23"/>
    </row>
    <row r="12" spans="2:12">
      <c r="B12" s="16"/>
      <c r="C12" s="17" t="s">
        <v>103</v>
      </c>
      <c r="D12" s="18"/>
      <c r="E12" s="19"/>
      <c r="F12" s="22">
        <v>4.04</v>
      </c>
      <c r="G12" s="23">
        <v>3.31</v>
      </c>
      <c r="H12" s="23">
        <v>5.36</v>
      </c>
      <c r="I12" s="23">
        <v>5.06</v>
      </c>
      <c r="J12" s="23">
        <v>3.51</v>
      </c>
      <c r="K12" s="23">
        <v>4.31</v>
      </c>
      <c r="L12" s="23">
        <v>3.86</v>
      </c>
    </row>
    <row r="13" spans="2:12">
      <c r="B13" s="16"/>
      <c r="C13" s="17" t="s">
        <v>104</v>
      </c>
      <c r="D13" s="18"/>
      <c r="E13" s="19"/>
      <c r="F13" s="22">
        <v>4.05</v>
      </c>
      <c r="G13" s="23">
        <v>3.31</v>
      </c>
      <c r="H13" s="23">
        <v>6.14</v>
      </c>
      <c r="I13" s="23">
        <v>5.44</v>
      </c>
      <c r="J13" s="23">
        <v>3.51</v>
      </c>
      <c r="K13" s="23">
        <v>4.43</v>
      </c>
      <c r="L13" s="23">
        <v>3.83</v>
      </c>
    </row>
  </sheetData>
  <mergeCells count="20">
    <mergeCell ref="B2:L2"/>
    <mergeCell ref="G3:H3"/>
    <mergeCell ref="I3:J3"/>
    <mergeCell ref="K3:L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3:B4"/>
    <mergeCell ref="B5:B7"/>
    <mergeCell ref="B8:B10"/>
    <mergeCell ref="B11:B13"/>
    <mergeCell ref="E3:E4"/>
    <mergeCell ref="F3:F4"/>
    <mergeCell ref="C3:D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9"/>
  <sheetViews>
    <sheetView tabSelected="1" zoomScale="85" zoomScaleNormal="85" workbookViewId="0">
      <selection activeCell="I34" sqref="I34"/>
    </sheetView>
  </sheetViews>
  <sheetFormatPr defaultColWidth="8.72727272727273" defaultRowHeight="14" outlineLevelCol="5"/>
  <cols>
    <col min="3" max="3" width="24.9090909090909" customWidth="1"/>
    <col min="4" max="4" width="9.63636363636364" customWidth="1"/>
    <col min="5" max="5" width="11.6363636363636" customWidth="1"/>
  </cols>
  <sheetData>
    <row r="2" ht="27" customHeight="1" spans="2:6">
      <c r="B2" s="1" t="s">
        <v>105</v>
      </c>
      <c r="C2" s="2"/>
      <c r="D2" s="2"/>
      <c r="E2" s="2"/>
      <c r="F2" s="3"/>
    </row>
    <row r="3" spans="2:6">
      <c r="B3" s="4" t="s">
        <v>1</v>
      </c>
      <c r="C3" s="4" t="s">
        <v>106</v>
      </c>
      <c r="D3" s="4" t="s">
        <v>107</v>
      </c>
      <c r="E3" s="4" t="s">
        <v>108</v>
      </c>
      <c r="F3" s="4" t="s">
        <v>109</v>
      </c>
    </row>
    <row r="4" spans="2:6">
      <c r="B4" s="5">
        <v>1</v>
      </c>
      <c r="C4" s="4" t="s">
        <v>110</v>
      </c>
      <c r="D4" s="6" t="s">
        <v>111</v>
      </c>
      <c r="E4" s="7">
        <v>3000</v>
      </c>
      <c r="F4" s="6"/>
    </row>
    <row r="5" spans="2:6">
      <c r="B5" s="5"/>
      <c r="C5" s="4" t="s">
        <v>112</v>
      </c>
      <c r="D5" s="6" t="s">
        <v>111</v>
      </c>
      <c r="E5" s="7">
        <v>1750</v>
      </c>
      <c r="F5" s="6"/>
    </row>
    <row r="6" spans="2:6">
      <c r="B6" s="5"/>
      <c r="C6" s="4" t="s">
        <v>113</v>
      </c>
      <c r="D6" s="6" t="s">
        <v>111</v>
      </c>
      <c r="E6" s="7">
        <v>1250</v>
      </c>
      <c r="F6" s="6"/>
    </row>
    <row r="7" spans="2:6">
      <c r="B7" s="5">
        <v>2</v>
      </c>
      <c r="C7" s="4" t="s">
        <v>114</v>
      </c>
      <c r="D7" s="6" t="s">
        <v>115</v>
      </c>
      <c r="E7" s="7">
        <v>2900</v>
      </c>
      <c r="F7" s="6"/>
    </row>
    <row r="8" spans="2:6">
      <c r="B8" s="5"/>
      <c r="C8" s="4" t="s">
        <v>116</v>
      </c>
      <c r="D8" s="6" t="s">
        <v>115</v>
      </c>
      <c r="E8" s="7">
        <v>1900</v>
      </c>
      <c r="F8" s="6" t="s">
        <v>117</v>
      </c>
    </row>
    <row r="9" spans="2:6">
      <c r="B9" s="5"/>
      <c r="C9" s="4" t="s">
        <v>118</v>
      </c>
      <c r="D9" s="6" t="s">
        <v>115</v>
      </c>
      <c r="E9" s="7">
        <v>0</v>
      </c>
      <c r="F9" s="6"/>
    </row>
    <row r="10" spans="2:6">
      <c r="B10" s="5"/>
      <c r="C10" s="4" t="s">
        <v>119</v>
      </c>
      <c r="D10" s="6" t="s">
        <v>115</v>
      </c>
      <c r="E10" s="7">
        <v>1000</v>
      </c>
      <c r="F10" s="6" t="s">
        <v>120</v>
      </c>
    </row>
    <row r="11" spans="2:6">
      <c r="B11" s="5">
        <v>3</v>
      </c>
      <c r="C11" s="4" t="s">
        <v>121</v>
      </c>
      <c r="D11" s="6"/>
      <c r="E11" s="7"/>
      <c r="F11" s="6"/>
    </row>
    <row r="12" spans="2:6">
      <c r="B12" s="5"/>
      <c r="C12" s="4" t="s">
        <v>122</v>
      </c>
      <c r="D12" s="6" t="s">
        <v>123</v>
      </c>
      <c r="E12" s="7">
        <v>72.5</v>
      </c>
      <c r="F12" s="6"/>
    </row>
    <row r="13" spans="2:6">
      <c r="B13" s="5"/>
      <c r="C13" s="4" t="s">
        <v>124</v>
      </c>
      <c r="D13" s="6" t="s">
        <v>123</v>
      </c>
      <c r="E13" s="7">
        <v>47.5</v>
      </c>
      <c r="F13" s="6"/>
    </row>
    <row r="14" spans="2:6">
      <c r="B14" s="5">
        <v>4</v>
      </c>
      <c r="C14" s="4" t="s">
        <v>125</v>
      </c>
      <c r="D14" s="6"/>
      <c r="E14" s="7">
        <v>125</v>
      </c>
      <c r="F14" s="6"/>
    </row>
    <row r="15" spans="2:6">
      <c r="B15" s="5"/>
      <c r="C15" s="4" t="s">
        <v>126</v>
      </c>
      <c r="D15" s="6" t="s">
        <v>127</v>
      </c>
      <c r="E15" s="7">
        <v>100</v>
      </c>
      <c r="F15" s="6"/>
    </row>
    <row r="16" spans="2:6">
      <c r="B16" s="5"/>
      <c r="C16" s="4" t="s">
        <v>128</v>
      </c>
      <c r="D16" s="6" t="s">
        <v>127</v>
      </c>
      <c r="E16" s="7">
        <v>20</v>
      </c>
      <c r="F16" s="6"/>
    </row>
    <row r="17" spans="2:6">
      <c r="B17" s="5"/>
      <c r="C17" s="4" t="s">
        <v>129</v>
      </c>
      <c r="D17" s="6" t="s">
        <v>127</v>
      </c>
      <c r="E17" s="7">
        <v>5</v>
      </c>
      <c r="F17" s="6"/>
    </row>
    <row r="18" spans="2:6">
      <c r="B18" s="5">
        <v>5</v>
      </c>
      <c r="C18" s="4" t="s">
        <v>130</v>
      </c>
      <c r="D18" s="6" t="s">
        <v>115</v>
      </c>
      <c r="E18" s="7">
        <v>2775.4</v>
      </c>
      <c r="F18" s="6"/>
    </row>
    <row r="19" spans="2:6">
      <c r="B19" s="5">
        <v>6</v>
      </c>
      <c r="C19" s="4" t="s">
        <v>131</v>
      </c>
      <c r="D19" s="6" t="s">
        <v>115</v>
      </c>
      <c r="E19" s="7">
        <v>4000</v>
      </c>
      <c r="F19" s="6"/>
    </row>
    <row r="20" spans="2:6">
      <c r="B20" s="5">
        <v>7</v>
      </c>
      <c r="C20" s="4" t="s">
        <v>59</v>
      </c>
      <c r="D20" s="6" t="s">
        <v>115</v>
      </c>
      <c r="E20" s="7">
        <v>1224.6</v>
      </c>
      <c r="F20" s="6"/>
    </row>
    <row r="21" spans="2:6">
      <c r="B21" s="5">
        <v>8</v>
      </c>
      <c r="C21" s="4" t="s">
        <v>132</v>
      </c>
      <c r="D21" s="6" t="s">
        <v>115</v>
      </c>
      <c r="E21" s="7">
        <v>810.6</v>
      </c>
      <c r="F21" s="6"/>
    </row>
    <row r="22" spans="2:6">
      <c r="B22" s="5">
        <v>9</v>
      </c>
      <c r="C22" s="4" t="s">
        <v>133</v>
      </c>
      <c r="D22" s="6" t="s">
        <v>134</v>
      </c>
      <c r="E22" s="7">
        <v>32</v>
      </c>
      <c r="F22" s="6"/>
    </row>
    <row r="23" spans="2:6">
      <c r="B23" s="5">
        <v>10</v>
      </c>
      <c r="C23" s="4" t="s">
        <v>135</v>
      </c>
      <c r="D23" s="6" t="s">
        <v>136</v>
      </c>
      <c r="E23" s="7"/>
      <c r="F23" s="6" t="s">
        <v>137</v>
      </c>
    </row>
    <row r="24" spans="2:6">
      <c r="B24" s="5">
        <v>11</v>
      </c>
      <c r="C24" s="4" t="s">
        <v>138</v>
      </c>
      <c r="D24" s="6" t="s">
        <v>136</v>
      </c>
      <c r="E24" s="7">
        <v>4.04</v>
      </c>
      <c r="F24" s="6" t="s">
        <v>137</v>
      </c>
    </row>
    <row r="25" spans="2:6">
      <c r="B25" s="5"/>
      <c r="C25" s="4" t="s">
        <v>104</v>
      </c>
      <c r="D25" s="6" t="s">
        <v>136</v>
      </c>
      <c r="E25" s="7">
        <v>4.05</v>
      </c>
      <c r="F25" s="6" t="s">
        <v>137</v>
      </c>
    </row>
    <row r="26" spans="2:6">
      <c r="B26" s="5">
        <v>12</v>
      </c>
      <c r="C26" s="4" t="s">
        <v>139</v>
      </c>
      <c r="D26" s="6" t="s">
        <v>101</v>
      </c>
      <c r="E26" s="8">
        <v>28</v>
      </c>
      <c r="F26" s="6"/>
    </row>
    <row r="27" spans="2:6">
      <c r="B27" s="5">
        <v>13</v>
      </c>
      <c r="C27" s="4" t="s">
        <v>140</v>
      </c>
      <c r="D27" s="6" t="s">
        <v>101</v>
      </c>
      <c r="E27" s="7">
        <v>33.5</v>
      </c>
      <c r="F27" s="6"/>
    </row>
    <row r="28" spans="2:6">
      <c r="B28" s="5">
        <v>14</v>
      </c>
      <c r="C28" s="4" t="s">
        <v>141</v>
      </c>
      <c r="D28" s="6" t="s">
        <v>101</v>
      </c>
      <c r="E28" s="7">
        <v>36</v>
      </c>
      <c r="F28" s="6"/>
    </row>
    <row r="29" spans="2:6">
      <c r="B29" s="4"/>
      <c r="C29" s="4" t="s">
        <v>104</v>
      </c>
      <c r="D29" s="6" t="s">
        <v>101</v>
      </c>
      <c r="E29" s="7">
        <v>33</v>
      </c>
      <c r="F29" s="6"/>
    </row>
  </sheetData>
  <mergeCells count="1">
    <mergeCell ref="B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表2-1 建设投资估算</vt:lpstr>
      <vt:lpstr>表2-4 总成本费用估算表</vt:lpstr>
      <vt:lpstr>表2-7利润及利润分配</vt:lpstr>
      <vt:lpstr>表2-8 项目投资现金流量表 </vt:lpstr>
      <vt:lpstr>表2-9 项目资本金现金流量表 </vt:lpstr>
      <vt:lpstr>表2-11敏感性分析表</vt:lpstr>
      <vt:lpstr>表2-12项目的主要财务评价指标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笑应动人</cp:lastModifiedBy>
  <dcterms:created xsi:type="dcterms:W3CDTF">2025-10-15T10:45:00Z</dcterms:created>
  <dcterms:modified xsi:type="dcterms:W3CDTF">2025-10-29T09:47:30Z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AC51446D87DC43BD92DA0314A5E0C53C_11</vt:lpwstr>
  </property>
  <property fmtid="{D5CDD505-2E9C-101B-9397-08002B2CF9AE}" pid="3" name="KSOProductBuildVer">
    <vt:lpwstr>2052-12.8.2.17838</vt:lpwstr>
  </property>
</Properties>
</file>